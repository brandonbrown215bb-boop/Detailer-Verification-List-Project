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ysite.jci.com/personal/jbrow263_jci_com/Documents/Documents/Detailer-Verification-List-Project/docs/roolz/"/>
    </mc:Choice>
  </mc:AlternateContent>
  <xr:revisionPtr revIDLastSave="179" documentId="13_ncr:1_{B34A8280-ACEF-43FE-A010-95DC5014BCAE}" xr6:coauthVersionLast="47" xr6:coauthVersionMax="47" xr10:uidLastSave="{74A5369A-6B2D-4121-8A31-71060B72C0B4}"/>
  <bookViews>
    <workbookView xWindow="-28920" yWindow="-120" windowWidth="29040" windowHeight="17520" tabRatio="738" activeTab="1" xr2:uid="{0BABE08E-5A72-4107-A3EF-83C1485BD324}"/>
  </bookViews>
  <sheets>
    <sheet name="Revision List" sheetId="2" r:id="rId1"/>
    <sheet name="Verification List" sheetId="5" r:id="rId2"/>
    <sheet name="Check Information" sheetId="3" r:id="rId3"/>
    <sheet name="Comments" sheetId="6" r:id="rId4"/>
    <sheet name="Base" sheetId="7" r:id="rId5"/>
    <sheet name="Drain Pan" sheetId="8" r:id="rId6"/>
    <sheet name="Housing" sheetId="9" r:id="rId7"/>
    <sheet name="Paperwork" sheetId="10" r:id="rId8"/>
    <sheet name="Internal" sheetId="11" r:id="rId9"/>
    <sheet name="Coil Panels" sheetId="12" r:id="rId10"/>
    <sheet name="Reconnects" sheetId="13" r:id="rId11"/>
    <sheet name="MOM" sheetId="14" r:id="rId12"/>
  </sheets>
  <definedNames>
    <definedName name="_xlnm.Print_Area" localSheetId="1">'Verification List'!$A$1:$X$25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E13" i="2"/>
  <c r="B20" i="3" l="1"/>
  <c r="B19" i="3"/>
  <c r="C15" i="3"/>
  <c r="C14" i="3"/>
  <c r="C13" i="3"/>
  <c r="C12" i="3"/>
  <c r="C11" i="3"/>
  <c r="C10" i="3"/>
  <c r="C9" i="3"/>
  <c r="B15" i="3"/>
  <c r="B14" i="3"/>
  <c r="B13" i="3"/>
  <c r="B12" i="3"/>
  <c r="B11" i="3"/>
  <c r="B10" i="3"/>
  <c r="B9" i="3"/>
  <c r="B3" i="3"/>
  <c r="B2" i="3"/>
  <c r="B8" i="3"/>
  <c r="C8" i="3"/>
  <c r="B18" i="3"/>
  <c r="B16" i="3" l="1"/>
  <c r="C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Tanner Dean</author>
  </authors>
  <commentList>
    <comment ref="C51" authorId="0" shapeId="0" xr:uid="{91E654CE-AF84-4DB9-BEE9-7A6613FEAC1B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Reference would be nice</t>
        </r>
      </text>
    </comment>
    <comment ref="C55" authorId="0" shapeId="0" xr:uid="{075A3AA4-FC5D-446F-A479-80108B38A976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More Information Needed</t>
        </r>
      </text>
    </comment>
    <comment ref="C63" authorId="0" shapeId="0" xr:uid="{BC8D8513-692C-4D14-930B-8240FE2981E8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More information needed
</t>
        </r>
      </text>
    </comment>
    <comment ref="C64" authorId="0" shapeId="0" xr:uid="{055B28C5-B734-469B-B649-C9A9E105A6FD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  <comment ref="C65" authorId="0" shapeId="0" xr:uid="{1657C536-DE3C-49CA-9A04-CF1D6A280158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Reference
</t>
        </r>
      </text>
    </comment>
    <comment ref="C135" authorId="0" shapeId="0" xr:uid="{FA1C3D93-EA9A-46F7-8671-66B7F090C1BF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  <comment ref="C143" authorId="0" shapeId="0" xr:uid="{E615E04A-3B14-4B0B-9753-9E63536593B2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  <comment ref="C145" authorId="0" shapeId="0" xr:uid="{0BF3EDF3-637E-4AAA-B1AE-7CF9C8353CA5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  <comment ref="C146" authorId="0" shapeId="0" xr:uid="{FDE4D78A-8DC2-4D21-8C41-3D4BCFE552F7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</commentList>
</comments>
</file>

<file path=xl/sharedStrings.xml><?xml version="1.0" encoding="utf-8"?>
<sst xmlns="http://schemas.openxmlformats.org/spreadsheetml/2006/main" count="578" uniqueCount="286">
  <si>
    <t>BB</t>
  </si>
  <si>
    <t>Minor grammatical and formatting fixes</t>
  </si>
  <si>
    <t>Tanner Dean</t>
  </si>
  <si>
    <t>Combined CAD and ISG verification; added expandable groups; broke out key internals to their own group; added improved error tracker; reevaluated current verification list</t>
  </si>
  <si>
    <t>Added Part number verification to paperwork</t>
  </si>
  <si>
    <t>Move Base9 to paperwork, Changed Base9 and added Base10; Updated internal verifications; added how to use.</t>
  </si>
  <si>
    <t>Added Purchased Material Report verifications; small verbiage changes on multiple lines</t>
  </si>
  <si>
    <t>Updated some verification wording, added error calculator, added drain pan verification</t>
  </si>
  <si>
    <t>Corrected wording on max wall size</t>
  </si>
  <si>
    <t>DD</t>
  </si>
  <si>
    <t>Added Post Fab Release Verification Section</t>
  </si>
  <si>
    <t>KAS</t>
  </si>
  <si>
    <t>Added Drain Pan opening verification</t>
  </si>
  <si>
    <t>APPROVED BY:</t>
  </si>
  <si>
    <t>APPROVAL DATE:</t>
  </si>
  <si>
    <t>DESCRIPTION</t>
  </si>
  <si>
    <t>REV. DATE:</t>
  </si>
  <si>
    <t>REV. LEVEL:</t>
  </si>
  <si>
    <t>SUBMITTED BY:</t>
  </si>
  <si>
    <t>REVISION</t>
  </si>
  <si>
    <t>Verification List Errors Found</t>
  </si>
  <si>
    <t>Total Errors</t>
  </si>
  <si>
    <t>MOM Errors</t>
  </si>
  <si>
    <t>Reconnect Errors</t>
  </si>
  <si>
    <t>Coil Panel Errors</t>
  </si>
  <si>
    <t>Paperwork Errors</t>
  </si>
  <si>
    <t>Housing Errors</t>
  </si>
  <si>
    <t>Drain Pan Errors</t>
  </si>
  <si>
    <t>Base Errors</t>
  </si>
  <si>
    <t>DVL</t>
  </si>
  <si>
    <t>DR</t>
  </si>
  <si>
    <t>Type</t>
  </si>
  <si>
    <t>Error Tracker</t>
  </si>
  <si>
    <t>Date Checked</t>
  </si>
  <si>
    <t>COM</t>
  </si>
  <si>
    <t>Detailer</t>
  </si>
  <si>
    <t>Checker</t>
  </si>
  <si>
    <t>Check Information</t>
  </si>
  <si>
    <t>Required dimensions and notes including ID of z-bars, drain hole location, drainpan location dim, etc. have been added.</t>
  </si>
  <si>
    <t>Correct material type and material gauge are present in paperwork BOMs.</t>
  </si>
  <si>
    <t>Paperwork</t>
  </si>
  <si>
    <t>There are no holes in the skins or liners that do not have channel support behind them.</t>
  </si>
  <si>
    <t>Housing</t>
  </si>
  <si>
    <t>Base</t>
  </si>
  <si>
    <t>N/A</t>
  </si>
  <si>
    <t>UTL Verifications</t>
  </si>
  <si>
    <t>Bulkheads/Internal Walls Verifications</t>
  </si>
  <si>
    <t>Initials</t>
  </si>
  <si>
    <t>Comments</t>
  </si>
  <si>
    <t>Additional Comments:</t>
  </si>
  <si>
    <t>GA</t>
  </si>
  <si>
    <t>FLOOR MATERIAL</t>
  </si>
  <si>
    <t>SKIN MATERIAL</t>
  </si>
  <si>
    <t>LINER MATERIAL</t>
  </si>
  <si>
    <t>UTL:</t>
  </si>
  <si>
    <t>KNOCKDOWN:</t>
  </si>
  <si>
    <t>LOCATION:</t>
  </si>
  <si>
    <t>SEISMIC:</t>
  </si>
  <si>
    <t>NOA:</t>
  </si>
  <si>
    <t>CURBREST:</t>
  </si>
  <si>
    <t>ROOF PEAK:</t>
  </si>
  <si>
    <t>THERMAL BREAK:</t>
  </si>
  <si>
    <t>WALL THICKNESS:</t>
  </si>
  <si>
    <t>BASE HEIGHT:</t>
  </si>
  <si>
    <t>UNIT TYPE:</t>
  </si>
  <si>
    <t>SHELL TYPE:</t>
  </si>
  <si>
    <t>COM#:</t>
  </si>
  <si>
    <t>JOB NAME:</t>
  </si>
  <si>
    <t>DATE:</t>
  </si>
  <si>
    <t>SQs &amp; Deviation Items Related to Detailing</t>
  </si>
  <si>
    <t>DETAILER:</t>
  </si>
  <si>
    <t>UNIT DETAILING VERIFICATION LIST</t>
  </si>
  <si>
    <t xml:space="preserve"> </t>
  </si>
  <si>
    <t>This tab is for leaving suggestions based off of review, not necessarily for correction but for future reference.</t>
  </si>
  <si>
    <t>Detailer Comments</t>
  </si>
  <si>
    <t>Checks</t>
  </si>
  <si>
    <t>DR Errors</t>
  </si>
  <si>
    <t>DVL Errors</t>
  </si>
  <si>
    <t>Detailer Comments/Completion</t>
  </si>
  <si>
    <t>MOM Verifications</t>
  </si>
  <si>
    <t>Added MOM section; minor changes to wording across various verification</t>
  </si>
  <si>
    <t>Special Construction Errors</t>
  </si>
  <si>
    <t>Internal Component Errors</t>
  </si>
  <si>
    <t>ISG Generation Errors</t>
  </si>
  <si>
    <t>Type of Error</t>
  </si>
  <si>
    <t>ISG Generation Issues</t>
  </si>
  <si>
    <t>Added fan hats to base support verification; added type of error column; added special construction and ISG generation error trackers</t>
  </si>
  <si>
    <t>PE Errors</t>
  </si>
  <si>
    <t>Engineering Errors</t>
  </si>
  <si>
    <t>Added Detailer Name list</t>
  </si>
  <si>
    <t>Perimeter Angle</t>
  </si>
  <si>
    <t>Skins</t>
  </si>
  <si>
    <t>Subfloors</t>
  </si>
  <si>
    <t>Base Features</t>
  </si>
  <si>
    <t>Channels and Angles</t>
  </si>
  <si>
    <t>Notes, Dims, and Misc</t>
  </si>
  <si>
    <t>Walls</t>
  </si>
  <si>
    <t>Roofs</t>
  </si>
  <si>
    <t>Skin</t>
  </si>
  <si>
    <t>a.</t>
  </si>
  <si>
    <t>b.</t>
  </si>
  <si>
    <t>Trim</t>
  </si>
  <si>
    <t>Baserail Packet</t>
  </si>
  <si>
    <t>Wall Packet</t>
  </si>
  <si>
    <t>Skid Packet</t>
  </si>
  <si>
    <t>ISG Only</t>
  </si>
  <si>
    <t>Checker Check off</t>
  </si>
  <si>
    <t>Detailer Check off</t>
  </si>
  <si>
    <t>Knockdown Verifications</t>
  </si>
  <si>
    <t>Coil Panel Verifications</t>
  </si>
  <si>
    <t>Reconnect Verifications</t>
  </si>
  <si>
    <t>Drain Pan Verifications</t>
  </si>
  <si>
    <t>CAD Verifications</t>
  </si>
  <si>
    <t>ISG Verifications</t>
  </si>
  <si>
    <r>
      <rPr>
        <b/>
        <sz val="12"/>
        <color theme="1"/>
        <rFont val="Aptos Narrow"/>
        <family val="2"/>
        <scheme val="minor"/>
      </rPr>
      <t>Lifting lugs</t>
    </r>
    <r>
      <rPr>
        <sz val="12"/>
        <color theme="1"/>
        <rFont val="Aptos Narrow"/>
        <family val="2"/>
        <scheme val="minor"/>
      </rPr>
      <t xml:space="preserve"> are free of obstruction/interference around drains, coil connections, VFDs, etc. (Standard 6" minimum).</t>
    </r>
  </si>
  <si>
    <r>
      <rPr>
        <b/>
        <sz val="12"/>
        <color theme="1"/>
        <rFont val="Aptos Narrow"/>
        <family val="2"/>
        <scheme val="minor"/>
      </rPr>
      <t>Lifting lugs</t>
    </r>
    <r>
      <rPr>
        <sz val="12"/>
        <color theme="1"/>
        <rFont val="Aptos Narrow"/>
        <family val="2"/>
        <scheme val="minor"/>
      </rPr>
      <t xml:space="preserve"> Have proper support when the skid is over 4,000lbs </t>
    </r>
    <r>
      <rPr>
        <b/>
        <sz val="12"/>
        <color theme="1"/>
        <rFont val="Aptos Narrow"/>
        <family val="2"/>
        <scheme val="minor"/>
      </rPr>
      <t>(Ref  ASSY Manual page 391-40206-003)</t>
    </r>
  </si>
  <si>
    <r>
      <rPr>
        <b/>
        <sz val="12"/>
        <color theme="1"/>
        <rFont val="Aptos Narrow"/>
        <family val="2"/>
        <scheme val="minor"/>
      </rPr>
      <t>Floor drains</t>
    </r>
    <r>
      <rPr>
        <sz val="12"/>
        <color theme="1"/>
        <rFont val="Aptos Narrow"/>
        <family val="2"/>
        <scheme val="minor"/>
      </rPr>
      <t xml:space="preserve"> are present and located as shown on the Unit Editor.</t>
    </r>
  </si>
  <si>
    <r>
      <rPr>
        <b/>
        <sz val="12"/>
        <color theme="1"/>
        <rFont val="Aptos Narrow"/>
        <family val="2"/>
        <scheme val="minor"/>
      </rPr>
      <t>Floor drain</t>
    </r>
    <r>
      <rPr>
        <sz val="12"/>
        <color theme="1"/>
        <rFont val="Aptos Narrow"/>
        <family val="2"/>
        <scheme val="minor"/>
      </rPr>
      <t xml:space="preserve"> hole sizes are correct. 3.125" dia for AL Drains; 1.50" dia for Steel Drains</t>
    </r>
  </si>
  <si>
    <r>
      <rPr>
        <b/>
        <sz val="12"/>
        <color theme="1"/>
        <rFont val="Aptos Narrow"/>
        <family val="2"/>
        <scheme val="minor"/>
      </rPr>
      <t>Drain Pan Drains</t>
    </r>
    <r>
      <rPr>
        <sz val="12"/>
        <color theme="1"/>
        <rFont val="Aptos Narrow"/>
        <family val="2"/>
        <scheme val="minor"/>
      </rPr>
      <t xml:space="preserve"> are located on the correct hand per the UE</t>
    </r>
  </si>
  <si>
    <r>
      <rPr>
        <b/>
        <sz val="12"/>
        <color theme="1"/>
        <rFont val="Aptos Narrow"/>
        <family val="2"/>
        <scheme val="minor"/>
      </rPr>
      <t>Filler plate</t>
    </r>
    <r>
      <rPr>
        <sz val="12"/>
        <color theme="1"/>
        <rFont val="Aptos Narrow"/>
        <family val="2"/>
        <scheme val="minor"/>
      </rPr>
      <t xml:space="preserve"> material is correct on aluminum base units.</t>
    </r>
  </si>
  <si>
    <r>
      <rPr>
        <b/>
        <sz val="12"/>
        <color theme="1"/>
        <rFont val="Aptos Narrow"/>
        <family val="2"/>
        <scheme val="minor"/>
      </rPr>
      <t>Construction splits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units splits</t>
    </r>
    <r>
      <rPr>
        <sz val="12"/>
        <color theme="1"/>
        <rFont val="Aptos Narrow"/>
        <family val="2"/>
        <scheme val="minor"/>
      </rPr>
      <t xml:space="preserve"> are located where necessary.</t>
    </r>
  </si>
  <si>
    <r>
      <t xml:space="preserve">The </t>
    </r>
    <r>
      <rPr>
        <b/>
        <sz val="12"/>
        <color theme="1"/>
        <rFont val="Aptos Narrow"/>
        <family val="2"/>
        <scheme val="minor"/>
      </rPr>
      <t>perimeter angle codes</t>
    </r>
    <r>
      <rPr>
        <sz val="12"/>
        <color theme="1"/>
        <rFont val="Aptos Narrow"/>
        <family val="2"/>
        <scheme val="minor"/>
      </rPr>
      <t xml:space="preserve"> are correct after deviating from configurator generated parts.</t>
    </r>
  </si>
  <si>
    <r>
      <rPr>
        <b/>
        <sz val="12"/>
        <color theme="1"/>
        <rFont val="Aptos Narrow"/>
        <family val="2"/>
        <scheme val="minor"/>
      </rPr>
      <t>Perimeter Angles</t>
    </r>
    <r>
      <rPr>
        <sz val="12"/>
        <color theme="1"/>
        <rFont val="Aptos Narrow"/>
        <family val="2"/>
        <scheme val="minor"/>
      </rPr>
      <t xml:space="preserve"> are the correct material and have the correct attachment hole size. 0.25" dia for rivet connection; 0.50" for weld connection</t>
    </r>
  </si>
  <si>
    <r>
      <rPr>
        <b/>
        <sz val="12"/>
        <color theme="1"/>
        <rFont val="Aptos Narrow"/>
        <family val="2"/>
        <scheme val="minor"/>
      </rPr>
      <t>Skin Seams</t>
    </r>
    <r>
      <rPr>
        <sz val="12"/>
        <color theme="1"/>
        <rFont val="Aptos Narrow"/>
        <family val="2"/>
        <scheme val="minor"/>
      </rPr>
      <t xml:space="preserve"> have proper base steel support.</t>
    </r>
  </si>
  <si>
    <r>
      <rPr>
        <b/>
        <sz val="12"/>
        <color theme="1"/>
        <rFont val="Aptos Narrow"/>
        <family val="2"/>
        <scheme val="minor"/>
      </rPr>
      <t>Material size</t>
    </r>
    <r>
      <rPr>
        <sz val="12"/>
        <color theme="1"/>
        <rFont val="Aptos Narrow"/>
        <family val="2"/>
        <scheme val="minor"/>
      </rPr>
      <t xml:space="preserve"> does </t>
    </r>
    <r>
      <rPr>
        <sz val="12"/>
        <rFont val="Aptos Narrow"/>
        <family val="2"/>
        <scheme val="minor"/>
      </rPr>
      <t>NOT exceed 144" x 48"; 60" x 144"for Aluminum Diamond Plate floor skin.</t>
    </r>
  </si>
  <si>
    <r>
      <rPr>
        <b/>
        <sz val="12"/>
        <color theme="1"/>
        <rFont val="Aptos Narrow"/>
        <family val="2"/>
        <scheme val="minor"/>
      </rPr>
      <t>Floor skins</t>
    </r>
    <r>
      <rPr>
        <sz val="12"/>
        <color theme="1"/>
        <rFont val="Aptos Narrow"/>
        <family val="2"/>
        <scheme val="minor"/>
      </rPr>
      <t xml:space="preserve"> have correct material type and gauge.</t>
    </r>
  </si>
  <si>
    <r>
      <rPr>
        <b/>
        <sz val="12"/>
        <color theme="1"/>
        <rFont val="Aptos Narrow"/>
        <family val="2"/>
        <scheme val="minor"/>
      </rPr>
      <t>Floor skins</t>
    </r>
    <r>
      <rPr>
        <sz val="12"/>
        <color theme="1"/>
        <rFont val="Aptos Narrow"/>
        <family val="2"/>
        <scheme val="minor"/>
      </rPr>
      <t xml:space="preserve"> around non-full width drainpans have proper skin seam support.</t>
    </r>
  </si>
  <si>
    <r>
      <rPr>
        <b/>
        <sz val="12"/>
        <color theme="1"/>
        <rFont val="Aptos Narrow"/>
        <family val="2"/>
        <scheme val="minor"/>
      </rPr>
      <t xml:space="preserve">Component Support </t>
    </r>
    <r>
      <rPr>
        <sz val="12"/>
        <color theme="1"/>
        <rFont val="Aptos Narrow"/>
        <family val="2"/>
        <scheme val="minor"/>
      </rPr>
      <t>- There is proper support under components that require base steel supports.</t>
    </r>
  </si>
  <si>
    <r>
      <rPr>
        <b/>
        <sz val="12"/>
        <color theme="1"/>
        <rFont val="Aptos Narrow"/>
        <family val="2"/>
        <scheme val="minor"/>
      </rPr>
      <t>Full height Formed Channels</t>
    </r>
    <r>
      <rPr>
        <sz val="12"/>
        <color theme="1"/>
        <rFont val="Aptos Narrow"/>
        <family val="2"/>
        <scheme val="minor"/>
      </rPr>
      <t xml:space="preserve"> are present when:</t>
    </r>
  </si>
  <si>
    <r>
      <rPr>
        <b/>
        <sz val="12"/>
        <color theme="1"/>
        <rFont val="Aptos Narrow"/>
        <family val="2"/>
        <scheme val="minor"/>
      </rPr>
      <t>Aluminum floor drain supports</t>
    </r>
    <r>
      <rPr>
        <sz val="12"/>
        <color theme="1"/>
        <rFont val="Aptos Narrow"/>
        <family val="2"/>
        <scheme val="minor"/>
      </rPr>
      <t xml:space="preserve"> are 5.00" apart, 2.50" from center of drain in both directions.</t>
    </r>
  </si>
  <si>
    <r>
      <rPr>
        <b/>
        <sz val="12"/>
        <color theme="1"/>
        <rFont val="Aptos Narrow"/>
        <family val="2"/>
        <scheme val="minor"/>
      </rPr>
      <t xml:space="preserve">Formed Channels </t>
    </r>
    <r>
      <rPr>
        <sz val="12"/>
        <color theme="1"/>
        <rFont val="Aptos Narrow"/>
        <family val="2"/>
        <scheme val="minor"/>
      </rPr>
      <t>do not exceed 144" in length.</t>
    </r>
  </si>
  <si>
    <t>Around an airflow opening and the base is curb rest.</t>
  </si>
  <si>
    <t>Around airflow openings when the unit is the top unit of a stacked configuration.</t>
  </si>
  <si>
    <r>
      <rPr>
        <b/>
        <sz val="12"/>
        <color theme="1"/>
        <rFont val="Aptos Narrow"/>
        <family val="2"/>
        <scheme val="minor"/>
      </rPr>
      <t>Drain Pan openings</t>
    </r>
    <r>
      <rPr>
        <sz val="12"/>
        <color theme="1"/>
        <rFont val="Aptos Narrow"/>
        <family val="2"/>
        <scheme val="minor"/>
      </rPr>
      <t xml:space="preserve"> wider than 36" in DOA, have proper curb angle supports.</t>
    </r>
  </si>
  <si>
    <t>All required dimensions and notes are added. (Z-bar dims, Drainpan dims, Construction details, Stamps)</t>
  </si>
  <si>
    <r>
      <rPr>
        <b/>
        <sz val="12"/>
        <color theme="1"/>
        <rFont val="Aptos Narrow"/>
        <family val="2"/>
        <scheme val="minor"/>
      </rPr>
      <t>Critical locating dim</t>
    </r>
    <r>
      <rPr>
        <sz val="12"/>
        <color theme="1"/>
        <rFont val="Aptos Narrow"/>
        <family val="2"/>
        <scheme val="minor"/>
      </rPr>
      <t xml:space="preserve"> added for Drain pans with bulkheads </t>
    </r>
  </si>
  <si>
    <r>
      <rPr>
        <b/>
        <sz val="12"/>
        <color theme="1"/>
        <rFont val="Aptos Narrow"/>
        <family val="2"/>
        <scheme val="minor"/>
      </rPr>
      <t>Opening assembly</t>
    </r>
    <r>
      <rPr>
        <sz val="12"/>
        <color theme="1"/>
        <rFont val="Aptos Narrow"/>
        <family val="2"/>
        <scheme val="minor"/>
      </rPr>
      <t xml:space="preserve"> types are correct and have the correct assembly number on the drawing.</t>
    </r>
  </si>
  <si>
    <r>
      <rPr>
        <b/>
        <sz val="12"/>
        <color theme="1"/>
        <rFont val="Aptos Narrow"/>
        <family val="2"/>
        <scheme val="minor"/>
      </rPr>
      <t>Drainpans</t>
    </r>
    <r>
      <rPr>
        <sz val="12"/>
        <color theme="1"/>
        <rFont val="Aptos Narrow"/>
        <family val="2"/>
        <scheme val="minor"/>
      </rPr>
      <t xml:space="preserve"> have the correct assembly number in the respective opening.</t>
    </r>
  </si>
  <si>
    <r>
      <rPr>
        <b/>
        <sz val="12"/>
        <color theme="1"/>
        <rFont val="Aptos Narrow"/>
        <family val="2"/>
        <scheme val="minor"/>
      </rPr>
      <t>Material size</t>
    </r>
    <r>
      <rPr>
        <sz val="12"/>
        <color theme="1"/>
        <rFont val="Aptos Narrow"/>
        <family val="2"/>
        <scheme val="minor"/>
      </rPr>
      <t xml:space="preserve"> does </t>
    </r>
    <r>
      <rPr>
        <sz val="12"/>
        <rFont val="Aptos Narrow"/>
        <family val="2"/>
        <scheme val="minor"/>
      </rPr>
      <t>NOT exceed 144" x 48".</t>
    </r>
  </si>
  <si>
    <r>
      <rPr>
        <b/>
        <sz val="12"/>
        <color theme="1"/>
        <rFont val="Aptos Narrow"/>
        <family val="2"/>
        <scheme val="minor"/>
      </rPr>
      <t>Channel spacing</t>
    </r>
    <r>
      <rPr>
        <sz val="12"/>
        <color theme="1"/>
        <rFont val="Aptos Narrow"/>
        <family val="2"/>
        <scheme val="minor"/>
      </rPr>
      <t xml:space="preserve"> is no less than 3" from web to web.</t>
    </r>
  </si>
  <si>
    <r>
      <rPr>
        <b/>
        <sz val="12"/>
        <color theme="1"/>
        <rFont val="Aptos Narrow"/>
        <family val="2"/>
        <scheme val="minor"/>
      </rPr>
      <t>Corridor wall seal off angles</t>
    </r>
    <r>
      <rPr>
        <sz val="12"/>
        <color theme="1"/>
        <rFont val="Aptos Narrow"/>
        <family val="2"/>
        <scheme val="minor"/>
      </rPr>
      <t xml:space="preserve"> have the correct material type and material gauge.</t>
    </r>
  </si>
  <si>
    <t>When multiple openings are stacked, erroneously generated objects (skins, liners, holes) have been deleted.</t>
  </si>
  <si>
    <r>
      <rPr>
        <b/>
        <sz val="12"/>
        <color theme="1"/>
        <rFont val="Aptos Narrow"/>
        <family val="2"/>
        <scheme val="minor"/>
      </rPr>
      <t>Coil panel openings</t>
    </r>
    <r>
      <rPr>
        <sz val="12"/>
        <color theme="1"/>
        <rFont val="Aptos Narrow"/>
        <family val="2"/>
        <scheme val="minor"/>
      </rPr>
      <t xml:space="preserve"> match the width parameter of the associated coil panel.</t>
    </r>
  </si>
  <si>
    <r>
      <rPr>
        <b/>
        <sz val="12"/>
        <color theme="1"/>
        <rFont val="Aptos Narrow"/>
        <family val="2"/>
        <scheme val="minor"/>
      </rPr>
      <t>Door opening</t>
    </r>
    <r>
      <rPr>
        <sz val="12"/>
        <color theme="1"/>
        <rFont val="Aptos Narrow"/>
        <family val="2"/>
        <scheme val="minor"/>
      </rPr>
      <t xml:space="preserve"> sizes match the BOM and Unit Editor</t>
    </r>
  </si>
  <si>
    <r>
      <rPr>
        <b/>
        <sz val="12"/>
        <color theme="1"/>
        <rFont val="Aptos Narrow"/>
        <family val="2"/>
        <scheme val="minor"/>
      </rPr>
      <t>Outdoor units</t>
    </r>
    <r>
      <rPr>
        <sz val="12"/>
        <color theme="1"/>
        <rFont val="Aptos Narrow"/>
        <family val="2"/>
        <scheme val="minor"/>
      </rPr>
      <t xml:space="preserve"> have skin holes removed at the unit split. </t>
    </r>
  </si>
  <si>
    <r>
      <rPr>
        <b/>
        <sz val="12"/>
        <color theme="1"/>
        <rFont val="Aptos Narrow"/>
        <family val="2"/>
        <scheme val="minor"/>
      </rPr>
      <t>Wall panels</t>
    </r>
    <r>
      <rPr>
        <sz val="12"/>
        <color theme="1"/>
        <rFont val="Aptos Narrow"/>
        <family val="2"/>
        <scheme val="minor"/>
      </rPr>
      <t xml:space="preserve"> do not exceed 106" in more than one direction.</t>
    </r>
  </si>
  <si>
    <r>
      <rPr>
        <b/>
        <sz val="12"/>
        <color theme="1"/>
        <rFont val="Aptos Narrow"/>
        <family val="2"/>
        <scheme val="minor"/>
      </rPr>
      <t>Channel dimensions</t>
    </r>
    <r>
      <rPr>
        <sz val="12"/>
        <color theme="1"/>
        <rFont val="Aptos Narrow"/>
        <family val="2"/>
        <scheme val="minor"/>
      </rPr>
      <t xml:space="preserve"> start and stop at each wall section.</t>
    </r>
  </si>
  <si>
    <r>
      <rPr>
        <b/>
        <sz val="12"/>
        <color theme="1"/>
        <rFont val="Aptos Narrow"/>
        <family val="2"/>
        <scheme val="minor"/>
      </rPr>
      <t>Skin and liner materials</t>
    </r>
    <r>
      <rPr>
        <sz val="12"/>
        <color theme="1"/>
        <rFont val="Aptos Narrow"/>
        <family val="2"/>
        <scheme val="minor"/>
      </rPr>
      <t xml:space="preserve"> match the UE.</t>
    </r>
  </si>
  <si>
    <r>
      <rPr>
        <b/>
        <sz val="12"/>
        <color theme="1"/>
        <rFont val="Aptos Narrow"/>
        <family val="2"/>
        <scheme val="minor"/>
      </rPr>
      <t>Insulation types</t>
    </r>
    <r>
      <rPr>
        <sz val="12"/>
        <color theme="1"/>
        <rFont val="Aptos Narrow"/>
        <family val="2"/>
        <scheme val="minor"/>
      </rPr>
      <t xml:space="preserve"> are correct. </t>
    </r>
  </si>
  <si>
    <t>Skin overlap added for skins on east/west walls on corridor units. Skin overlaps from Vestibules onto Air Tunnel</t>
  </si>
  <si>
    <r>
      <t>The correct</t>
    </r>
    <r>
      <rPr>
        <b/>
        <sz val="12"/>
        <color theme="1"/>
        <rFont val="Aptos Narrow"/>
        <family val="2"/>
        <scheme val="minor"/>
      </rPr>
      <t xml:space="preserve"> hole pattern</t>
    </r>
    <r>
      <rPr>
        <sz val="12"/>
        <color theme="1"/>
        <rFont val="Aptos Narrow"/>
        <family val="2"/>
        <scheme val="minor"/>
      </rPr>
      <t xml:space="preserve"> is used when moving skins, liners, and/or adding channels.</t>
    </r>
  </si>
  <si>
    <r>
      <t xml:space="preserve">The correct </t>
    </r>
    <r>
      <rPr>
        <b/>
        <sz val="12"/>
        <color theme="1"/>
        <rFont val="Aptos Narrow"/>
        <family val="2"/>
        <scheme val="minor"/>
      </rPr>
      <t>hole pattern</t>
    </r>
    <r>
      <rPr>
        <sz val="12"/>
        <color theme="1"/>
        <rFont val="Aptos Narrow"/>
        <family val="2"/>
        <scheme val="minor"/>
      </rPr>
      <t xml:space="preserve"> is used when moving skins, liners, and/or adding channels.</t>
    </r>
  </si>
  <si>
    <r>
      <rPr>
        <b/>
        <sz val="12"/>
        <color theme="1"/>
        <rFont val="Aptos Narrow"/>
        <family val="2"/>
        <scheme val="minor"/>
      </rPr>
      <t>Roof seal off angles</t>
    </r>
    <r>
      <rPr>
        <sz val="12"/>
        <color theme="1"/>
        <rFont val="Aptos Narrow"/>
        <family val="2"/>
        <scheme val="minor"/>
      </rPr>
      <t xml:space="preserve"> have the correct material type and material gauge.</t>
    </r>
  </si>
  <si>
    <r>
      <rPr>
        <b/>
        <sz val="12"/>
        <color theme="1"/>
        <rFont val="Aptos Narrow"/>
        <family val="2"/>
        <scheme val="minor"/>
      </rPr>
      <t>Filter Stiffeners</t>
    </r>
    <r>
      <rPr>
        <sz val="12"/>
        <color theme="1"/>
        <rFont val="Aptos Narrow"/>
        <family val="2"/>
        <scheme val="minor"/>
      </rPr>
      <t xml:space="preserve"> have roof channel support.</t>
    </r>
  </si>
  <si>
    <r>
      <rPr>
        <b/>
        <sz val="12"/>
        <color theme="1"/>
        <rFont val="Aptos Narrow"/>
        <family val="2"/>
        <scheme val="minor"/>
      </rPr>
      <t>Housing support</t>
    </r>
    <r>
      <rPr>
        <sz val="12"/>
        <color theme="1"/>
        <rFont val="Aptos Narrow"/>
        <family val="2"/>
        <scheme val="minor"/>
      </rPr>
      <t xml:space="preserve"> is present for all bulkheads.</t>
    </r>
  </si>
  <si>
    <r>
      <rPr>
        <b/>
        <sz val="12"/>
        <color theme="1"/>
        <rFont val="Aptos Narrow"/>
        <family val="2"/>
        <scheme val="minor"/>
      </rPr>
      <t>Special Roof Caps</t>
    </r>
    <r>
      <rPr>
        <sz val="12"/>
        <color theme="1"/>
        <rFont val="Aptos Narrow"/>
        <family val="2"/>
        <scheme val="minor"/>
      </rPr>
      <t xml:space="preserve"> for Non-Rectangular, Pipe Chases, and Teired units have been adjusted to work with special housing.</t>
    </r>
  </si>
  <si>
    <r>
      <rPr>
        <b/>
        <sz val="12"/>
        <color theme="1"/>
        <rFont val="Aptos Narrow"/>
        <family val="2"/>
        <scheme val="minor"/>
      </rPr>
      <t>Roof openings without dampers</t>
    </r>
    <r>
      <rPr>
        <sz val="12"/>
        <color theme="1"/>
        <rFont val="Aptos Narrow"/>
        <family val="2"/>
        <scheme val="minor"/>
      </rPr>
      <t xml:space="preserve"> have shipping covers present in the MOM BOM.</t>
    </r>
  </si>
  <si>
    <r>
      <rPr>
        <b/>
        <sz val="12"/>
        <color theme="1"/>
        <rFont val="Aptos Narrow"/>
        <family val="2"/>
        <scheme val="minor"/>
      </rPr>
      <t>Floor drains</t>
    </r>
    <r>
      <rPr>
        <sz val="12"/>
        <color theme="1"/>
        <rFont val="Aptos Narrow"/>
        <family val="2"/>
        <scheme val="minor"/>
      </rPr>
      <t xml:space="preserve"> are present and located as shown in the Unit Editor</t>
    </r>
  </si>
  <si>
    <r>
      <rPr>
        <b/>
        <sz val="12"/>
        <color theme="1"/>
        <rFont val="Aptos Narrow"/>
        <family val="2"/>
        <scheme val="minor"/>
      </rPr>
      <t>Floor drain hole</t>
    </r>
    <r>
      <rPr>
        <sz val="12"/>
        <color theme="1"/>
        <rFont val="Aptos Narrow"/>
        <family val="2"/>
        <scheme val="minor"/>
      </rPr>
      <t xml:space="preserve"> sizes are correct. 3.125" dia for AL Drains; 1.50" dia for Steel Drains</t>
    </r>
  </si>
  <si>
    <r>
      <rPr>
        <b/>
        <sz val="12"/>
        <color theme="1"/>
        <rFont val="Aptos Narrow"/>
        <family val="2"/>
        <scheme val="minor"/>
      </rPr>
      <t>Material size</t>
    </r>
    <r>
      <rPr>
        <sz val="12"/>
        <color theme="1"/>
        <rFont val="Aptos Narrow"/>
        <family val="2"/>
        <scheme val="minor"/>
      </rPr>
      <t xml:space="preserve"> does NOT exceed 144" x 48"; 60" x 144"for Aluminum Diamond Plate floor skin.</t>
    </r>
  </si>
  <si>
    <r>
      <rPr>
        <b/>
        <sz val="12"/>
        <color theme="1"/>
        <rFont val="Aptos Narrow"/>
        <family val="2"/>
        <scheme val="minor"/>
      </rPr>
      <t>Subfloors</t>
    </r>
    <r>
      <rPr>
        <sz val="12"/>
        <color theme="1"/>
        <rFont val="Aptos Narrow"/>
        <family val="2"/>
        <scheme val="minor"/>
      </rPr>
      <t xml:space="preserve"> under drain pan openings greater than 45" are not oversized.</t>
    </r>
  </si>
  <si>
    <r>
      <rPr>
        <b/>
        <sz val="12"/>
        <color theme="1"/>
        <rFont val="Aptos Narrow"/>
        <family val="2"/>
        <scheme val="minor"/>
      </rPr>
      <t>Component Support</t>
    </r>
    <r>
      <rPr>
        <sz val="12"/>
        <color theme="1"/>
        <rFont val="Aptos Narrow"/>
        <family val="2"/>
        <scheme val="minor"/>
      </rPr>
      <t xml:space="preserve"> - There is proper support under components that require base steel supports.</t>
    </r>
  </si>
  <si>
    <r>
      <rPr>
        <b/>
        <sz val="12"/>
        <color theme="1"/>
        <rFont val="Aptos Narrow"/>
        <family val="2"/>
        <scheme val="minor"/>
      </rPr>
      <t xml:space="preserve">Full height Formed Channels </t>
    </r>
    <r>
      <rPr>
        <sz val="12"/>
        <color theme="1"/>
        <rFont val="Aptos Narrow"/>
        <family val="2"/>
        <scheme val="minor"/>
      </rPr>
      <t>are present when:</t>
    </r>
  </si>
  <si>
    <r>
      <rPr>
        <b/>
        <sz val="12"/>
        <color theme="1"/>
        <rFont val="Aptos Narrow"/>
        <family val="2"/>
        <scheme val="minor"/>
      </rPr>
      <t>Formed Channels</t>
    </r>
    <r>
      <rPr>
        <sz val="12"/>
        <color theme="1"/>
        <rFont val="Aptos Narrow"/>
        <family val="2"/>
        <scheme val="minor"/>
      </rPr>
      <t xml:space="preserve"> do not exceed 144" in length.</t>
    </r>
  </si>
  <si>
    <r>
      <rPr>
        <b/>
        <sz val="12"/>
        <color theme="1"/>
        <rFont val="Aptos Narrow"/>
        <family val="2"/>
        <scheme val="minor"/>
      </rPr>
      <t>Structural Steel Angles</t>
    </r>
    <r>
      <rPr>
        <sz val="12"/>
        <color theme="1"/>
        <rFont val="Aptos Narrow"/>
        <family val="2"/>
        <scheme val="minor"/>
      </rPr>
      <t xml:space="preserve"> are building in MOM. Base Height should be set to 6 to get them to upload</t>
    </r>
  </si>
  <si>
    <r>
      <rPr>
        <b/>
        <sz val="12"/>
        <color theme="1"/>
        <rFont val="Aptos Narrow"/>
        <family val="2"/>
        <scheme val="minor"/>
      </rPr>
      <t>Aluminum floor drain supports</t>
    </r>
    <r>
      <rPr>
        <sz val="12"/>
        <color theme="1"/>
        <rFont val="Aptos Narrow"/>
        <family val="2"/>
        <scheme val="minor"/>
      </rPr>
      <t xml:space="preserve"> should be 5.00" apart, 2.50" from center of drain in both directions.</t>
    </r>
  </si>
  <si>
    <r>
      <rPr>
        <b/>
        <sz val="12"/>
        <color theme="1"/>
        <rFont val="Aptos Narrow"/>
        <family val="2"/>
        <scheme val="minor"/>
      </rPr>
      <t>Door opening sizes</t>
    </r>
    <r>
      <rPr>
        <sz val="12"/>
        <color theme="1"/>
        <rFont val="Aptos Narrow"/>
        <family val="2"/>
        <scheme val="minor"/>
      </rPr>
      <t xml:space="preserve"> match the BOM and Unit Editor</t>
    </r>
  </si>
  <si>
    <r>
      <rPr>
        <b/>
        <sz val="12"/>
        <color theme="1"/>
        <rFont val="Aptos Narrow"/>
        <family val="2"/>
        <scheme val="minor"/>
      </rPr>
      <t>Wall Surfaces</t>
    </r>
    <r>
      <rPr>
        <sz val="12"/>
        <color theme="1"/>
        <rFont val="Aptos Narrow"/>
        <family val="2"/>
        <scheme val="minor"/>
      </rPr>
      <t xml:space="preserve"> match height in Unit Editor.</t>
    </r>
  </si>
  <si>
    <r>
      <rPr>
        <b/>
        <sz val="12"/>
        <color theme="1"/>
        <rFont val="Aptos Narrow"/>
        <family val="2"/>
        <scheme val="minor"/>
      </rPr>
      <t>Wall panels</t>
    </r>
    <r>
      <rPr>
        <sz val="12"/>
        <color theme="1"/>
        <rFont val="Aptos Narrow"/>
        <family val="2"/>
        <scheme val="minor"/>
      </rPr>
      <t xml:space="preserve"> match height in the UE.</t>
    </r>
  </si>
  <si>
    <r>
      <rPr>
        <b/>
        <sz val="12"/>
        <color theme="1"/>
        <rFont val="Aptos Narrow"/>
        <family val="2"/>
        <scheme val="minor"/>
      </rPr>
      <t>Skin and liner</t>
    </r>
    <r>
      <rPr>
        <sz val="12"/>
        <color theme="1"/>
        <rFont val="Aptos Narrow"/>
        <family val="2"/>
        <scheme val="minor"/>
      </rPr>
      <t xml:space="preserve"> materials match the UE.</t>
    </r>
  </si>
  <si>
    <r>
      <rPr>
        <b/>
        <sz val="12"/>
        <color theme="1"/>
        <rFont val="Aptos Narrow"/>
        <family val="2"/>
        <scheme val="minor"/>
      </rPr>
      <t>Corridor wall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roof seal off angles</t>
    </r>
    <r>
      <rPr>
        <sz val="12"/>
        <color theme="1"/>
        <rFont val="Aptos Narrow"/>
        <family val="2"/>
        <scheme val="minor"/>
      </rPr>
      <t xml:space="preserve"> have the correct material type and material gauge.</t>
    </r>
  </si>
  <si>
    <r>
      <rPr>
        <b/>
        <sz val="12"/>
        <color theme="1"/>
        <rFont val="Aptos Narrow"/>
        <family val="2"/>
        <scheme val="minor"/>
      </rPr>
      <t>Tiering angles</t>
    </r>
    <r>
      <rPr>
        <sz val="12"/>
        <color theme="1"/>
        <rFont val="Aptos Narrow"/>
        <family val="2"/>
        <scheme val="minor"/>
      </rPr>
      <t xml:space="preserve"> are the correct gauge and material.</t>
    </r>
  </si>
  <si>
    <r>
      <rPr>
        <b/>
        <sz val="12"/>
        <color theme="1"/>
        <rFont val="Aptos Narrow"/>
        <family val="2"/>
        <scheme val="minor"/>
      </rPr>
      <t>Aluminum corner liners</t>
    </r>
    <r>
      <rPr>
        <sz val="12"/>
        <color theme="1"/>
        <rFont val="Aptos Narrow"/>
        <family val="2"/>
        <scheme val="minor"/>
      </rPr>
      <t xml:space="preserve"> are 14ga (.080")</t>
    </r>
  </si>
  <si>
    <r>
      <rPr>
        <b/>
        <sz val="12"/>
        <color theme="1"/>
        <rFont val="Aptos Narrow"/>
        <family val="2"/>
        <scheme val="minor"/>
      </rPr>
      <t>Added library parts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changed parts</t>
    </r>
    <r>
      <rPr>
        <sz val="12"/>
        <color theme="1"/>
        <rFont val="Aptos Narrow"/>
        <family val="2"/>
        <scheme val="minor"/>
      </rPr>
      <t xml:space="preserve"> have a part number on the paperwork</t>
    </r>
  </si>
  <si>
    <r>
      <rPr>
        <b/>
        <sz val="12"/>
        <color theme="1"/>
        <rFont val="Aptos Narrow"/>
        <family val="2"/>
        <scheme val="minor"/>
      </rPr>
      <t>Subfloors</t>
    </r>
    <r>
      <rPr>
        <sz val="12"/>
        <color theme="1"/>
        <rFont val="Aptos Narrow"/>
        <family val="2"/>
        <scheme val="minor"/>
      </rPr>
      <t xml:space="preserve"> are pulled back 0.25" from full height formed channels like they are from structural channels.</t>
    </r>
  </si>
  <si>
    <r>
      <rPr>
        <b/>
        <sz val="12"/>
        <color theme="1"/>
        <rFont val="Aptos Narrow"/>
        <family val="2"/>
        <scheme val="minor"/>
      </rPr>
      <t>All added library parts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changed parts</t>
    </r>
    <r>
      <rPr>
        <sz val="12"/>
        <color theme="1"/>
        <rFont val="Aptos Narrow"/>
        <family val="2"/>
        <scheme val="minor"/>
      </rPr>
      <t xml:space="preserve"> have a part number on the paperwork</t>
    </r>
  </si>
  <si>
    <r>
      <rPr>
        <b/>
        <sz val="12"/>
        <color theme="1"/>
        <rFont val="Aptos Narrow"/>
        <family val="2"/>
        <scheme val="minor"/>
      </rPr>
      <t>Correct material type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material gauge</t>
    </r>
    <r>
      <rPr>
        <sz val="12"/>
        <color theme="1"/>
        <rFont val="Aptos Narrow"/>
        <family val="2"/>
        <scheme val="minor"/>
      </rPr>
      <t xml:space="preserve"> are present in paperwork BOMs.</t>
    </r>
  </si>
  <si>
    <r>
      <t xml:space="preserve">All </t>
    </r>
    <r>
      <rPr>
        <b/>
        <sz val="12"/>
        <color theme="1"/>
        <rFont val="Aptos Narrow"/>
        <family val="2"/>
        <scheme val="minor"/>
      </rPr>
      <t>bulkheads</t>
    </r>
    <r>
      <rPr>
        <sz val="12"/>
        <color theme="1"/>
        <rFont val="Aptos Narrow"/>
        <family val="2"/>
        <scheme val="minor"/>
      </rPr>
      <t xml:space="preserve"> are present and dimensioned correctly.</t>
    </r>
  </si>
  <si>
    <r>
      <t xml:space="preserve">All </t>
    </r>
    <r>
      <rPr>
        <b/>
        <sz val="12"/>
        <color theme="1"/>
        <rFont val="Aptos Narrow"/>
        <family val="2"/>
        <scheme val="minor"/>
      </rPr>
      <t>internals</t>
    </r>
    <r>
      <rPr>
        <sz val="12"/>
        <color theme="1"/>
        <rFont val="Aptos Narrow"/>
        <family val="2"/>
        <scheme val="minor"/>
      </rPr>
      <t xml:space="preserve"> have the correct assembly number in the BOM.</t>
    </r>
  </si>
  <si>
    <r>
      <rPr>
        <b/>
        <sz val="12"/>
        <color theme="1"/>
        <rFont val="Aptos Narrow"/>
        <family val="2"/>
        <scheme val="minor"/>
      </rPr>
      <t>All added library parts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changed parts</t>
    </r>
    <r>
      <rPr>
        <sz val="12"/>
        <color theme="1"/>
        <rFont val="Aptos Narrow"/>
        <family val="2"/>
        <scheme val="minor"/>
      </rPr>
      <t xml:space="preserve"> have a part number on the paperwork.</t>
    </r>
  </si>
  <si>
    <r>
      <rPr>
        <b/>
        <sz val="12"/>
        <color theme="1"/>
        <rFont val="Aptos Narrow"/>
        <family val="2"/>
        <scheme val="minor"/>
      </rPr>
      <t>Post ISG part select</t>
    </r>
    <r>
      <rPr>
        <sz val="12"/>
        <color theme="1"/>
        <rFont val="Aptos Narrow"/>
        <family val="2"/>
        <scheme val="minor"/>
      </rPr>
      <t xml:space="preserve"> has been ran, unneccessary parts have been removed, and all parts are built and in MAPICS.</t>
    </r>
  </si>
  <si>
    <r>
      <rPr>
        <b/>
        <sz val="12"/>
        <color theme="1"/>
        <rFont val="Aptos Narrow"/>
        <family val="2"/>
        <scheme val="minor"/>
      </rPr>
      <t>Surface Summary Generation</t>
    </r>
    <r>
      <rPr>
        <sz val="12"/>
        <color theme="1"/>
        <rFont val="Aptos Narrow"/>
        <family val="2"/>
        <scheme val="minor"/>
      </rPr>
      <t xml:space="preserve"> has been ran and there are no duplicate surfaces in the BOM.</t>
    </r>
  </si>
  <si>
    <r>
      <t xml:space="preserve">The </t>
    </r>
    <r>
      <rPr>
        <b/>
        <sz val="12"/>
        <color theme="1"/>
        <rFont val="Aptos Narrow"/>
        <family val="2"/>
        <scheme val="minor"/>
      </rPr>
      <t>detailer information document</t>
    </r>
    <r>
      <rPr>
        <sz val="12"/>
        <color theme="1"/>
        <rFont val="Aptos Narrow"/>
        <family val="2"/>
        <scheme val="minor"/>
      </rPr>
      <t xml:space="preserve"> is uploaded to the CAD/MAPICS document section.</t>
    </r>
  </si>
  <si>
    <r>
      <t>The</t>
    </r>
    <r>
      <rPr>
        <b/>
        <sz val="12"/>
        <color theme="1"/>
        <rFont val="Aptos Narrow"/>
        <family val="2"/>
        <scheme val="minor"/>
      </rPr>
      <t xml:space="preserve"> MAPICS BOM</t>
    </r>
    <r>
      <rPr>
        <sz val="12"/>
        <color theme="1"/>
        <rFont val="Aptos Narrow"/>
        <family val="2"/>
        <scheme val="minor"/>
      </rPr>
      <t xml:space="preserve"> is uploaded and clean.</t>
    </r>
  </si>
  <si>
    <r>
      <rPr>
        <b/>
        <sz val="12"/>
        <color theme="1"/>
        <rFont val="Aptos Narrow"/>
        <family val="2"/>
        <scheme val="minor"/>
      </rPr>
      <t>Unit Editor shell options</t>
    </r>
    <r>
      <rPr>
        <sz val="12"/>
        <color theme="1"/>
        <rFont val="Aptos Narrow"/>
        <family val="2"/>
        <scheme val="minor"/>
      </rPr>
      <t xml:space="preserve"> are set to the correct shell generation.</t>
    </r>
  </si>
  <si>
    <r>
      <t xml:space="preserve">If you have an </t>
    </r>
    <r>
      <rPr>
        <b/>
        <sz val="12"/>
        <color theme="1"/>
        <rFont val="Aptos Narrow"/>
        <family val="2"/>
        <scheme val="minor"/>
      </rPr>
      <t>EBM fan larger than 630</t>
    </r>
    <r>
      <rPr>
        <sz val="12"/>
        <color theme="1"/>
        <rFont val="Aptos Narrow"/>
        <family val="2"/>
        <scheme val="minor"/>
      </rPr>
      <t>, or your unit is Seismic with an EBM fan, MM#: 391-10004-012 is used.</t>
    </r>
  </si>
  <si>
    <r>
      <t xml:space="preserve">If you have an </t>
    </r>
    <r>
      <rPr>
        <b/>
        <sz val="12"/>
        <color theme="1"/>
        <rFont val="Aptos Narrow"/>
        <family val="2"/>
        <scheme val="minor"/>
      </rPr>
      <t>EBM fan smaller than 560</t>
    </r>
    <r>
      <rPr>
        <sz val="12"/>
        <color theme="1"/>
        <rFont val="Aptos Narrow"/>
        <family val="2"/>
        <scheme val="minor"/>
      </rPr>
      <t xml:space="preserve"> and your unit is not Seismic, MM#: 391-10004-013 is used.</t>
    </r>
  </si>
  <si>
    <r>
      <rPr>
        <b/>
        <sz val="12"/>
        <color theme="1"/>
        <rFont val="Aptos Narrow"/>
        <family val="2"/>
        <scheme val="minor"/>
      </rPr>
      <t>EBM Fan Wall</t>
    </r>
    <r>
      <rPr>
        <sz val="12"/>
        <color theme="1"/>
        <rFont val="Aptos Narrow"/>
        <family val="2"/>
        <scheme val="minor"/>
      </rPr>
      <t xml:space="preserve"> has the correct fan generation selected in the parameters.</t>
    </r>
  </si>
  <si>
    <r>
      <t xml:space="preserve">Model's frame size for </t>
    </r>
    <r>
      <rPr>
        <b/>
        <sz val="12"/>
        <color theme="1"/>
        <rFont val="Aptos Narrow"/>
        <family val="2"/>
        <scheme val="minor"/>
      </rPr>
      <t>Class 3 Twin City Fans</t>
    </r>
    <r>
      <rPr>
        <sz val="12"/>
        <color theme="1"/>
        <rFont val="Aptos Narrow"/>
        <family val="2"/>
        <scheme val="minor"/>
      </rPr>
      <t xml:space="preserve"> match the quoted frame size dimensions.</t>
    </r>
  </si>
  <si>
    <r>
      <rPr>
        <b/>
        <sz val="12"/>
        <color theme="1"/>
        <rFont val="Aptos Narrow"/>
        <family val="2"/>
        <scheme val="minor"/>
      </rPr>
      <t>Drive kits for belt driven fans</t>
    </r>
    <r>
      <rPr>
        <sz val="12"/>
        <color theme="1"/>
        <rFont val="Aptos Narrow"/>
        <family val="2"/>
        <scheme val="minor"/>
      </rPr>
      <t xml:space="preserve"> that MOM did not part select, have been created and added to the BOM using the Manual Drive Kit process.</t>
    </r>
  </si>
  <si>
    <r>
      <rPr>
        <b/>
        <sz val="12"/>
        <color theme="1"/>
        <rFont val="Aptos Narrow"/>
        <family val="2"/>
        <scheme val="minor"/>
      </rPr>
      <t>SQ'ed models</t>
    </r>
    <r>
      <rPr>
        <sz val="12"/>
        <color theme="1"/>
        <rFont val="Aptos Narrow"/>
        <family val="2"/>
        <scheme val="minor"/>
      </rPr>
      <t xml:space="preserve"> have correct drawings, bend indicators, dimensions, part quantity, and material.</t>
    </r>
  </si>
  <si>
    <r>
      <rPr>
        <b/>
        <sz val="12"/>
        <color theme="1"/>
        <rFont val="Aptos Narrow"/>
        <family val="2"/>
        <scheme val="minor"/>
      </rPr>
      <t>New/SQ models</t>
    </r>
    <r>
      <rPr>
        <sz val="12"/>
        <color theme="1"/>
        <rFont val="Aptos Narrow"/>
        <family val="2"/>
        <scheme val="minor"/>
      </rPr>
      <t xml:space="preserve"> have the correct parameters/features used are per component specifications.</t>
    </r>
  </si>
  <si>
    <r>
      <rPr>
        <b/>
        <sz val="12"/>
        <color theme="1"/>
        <rFont val="Aptos Narrow"/>
        <family val="2"/>
        <scheme val="minor"/>
      </rPr>
      <t>Bulkhead</t>
    </r>
    <r>
      <rPr>
        <sz val="12"/>
        <color theme="1"/>
        <rFont val="Aptos Narrow"/>
        <family val="2"/>
        <scheme val="minor"/>
      </rPr>
      <t xml:space="preserve"> materials match the UE/Spec Sheet.</t>
    </r>
  </si>
  <si>
    <r>
      <rPr>
        <b/>
        <sz val="12"/>
        <color theme="1"/>
        <rFont val="Aptos Narrow"/>
        <family val="2"/>
        <scheme val="minor"/>
      </rPr>
      <t>Internals</t>
    </r>
    <r>
      <rPr>
        <sz val="12"/>
        <color theme="1"/>
        <rFont val="Aptos Narrow"/>
        <family val="2"/>
        <scheme val="minor"/>
      </rPr>
      <t xml:space="preserve"> have been changed to match SQs/Deviations.</t>
    </r>
  </si>
  <si>
    <r>
      <t xml:space="preserve">All </t>
    </r>
    <r>
      <rPr>
        <b/>
        <sz val="12"/>
        <color theme="1"/>
        <rFont val="Aptos Narrow"/>
        <family val="2"/>
        <scheme val="minor"/>
      </rPr>
      <t>non-SQ-ed assemblies left by IEC</t>
    </r>
    <r>
      <rPr>
        <sz val="12"/>
        <color theme="1"/>
        <rFont val="Aptos Narrow"/>
        <family val="2"/>
        <scheme val="minor"/>
      </rPr>
      <t xml:space="preserve"> have beeen deleted from the BOM after surface generation</t>
    </r>
  </si>
  <si>
    <r>
      <rPr>
        <b/>
        <sz val="12"/>
        <color theme="1"/>
        <rFont val="Aptos Narrow"/>
        <family val="2"/>
        <scheme val="minor"/>
      </rPr>
      <t>Slide-in (side-load) filters</t>
    </r>
    <r>
      <rPr>
        <sz val="12"/>
        <color theme="1"/>
        <rFont val="Aptos Narrow"/>
        <family val="2"/>
        <scheme val="minor"/>
      </rPr>
      <t xml:space="preserve"> have enough door clearance.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</si>
  <si>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- UTL formed angle supports under the Left and Right flanges of the drainpan have skin coverage.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</si>
  <si>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- Formed angles are present in the drainpan model, when needed.</t>
    </r>
  </si>
  <si>
    <r>
      <rPr>
        <b/>
        <sz val="12"/>
        <color theme="1"/>
        <rFont val="Aptos Narrow"/>
        <family val="2"/>
        <scheme val="minor"/>
      </rPr>
      <t>Wall panels</t>
    </r>
    <r>
      <rPr>
        <sz val="12"/>
        <color theme="1"/>
        <rFont val="Aptos Narrow"/>
        <family val="2"/>
        <scheme val="minor"/>
      </rPr>
      <t xml:space="preserve"> are reduced in height for UTL construction.</t>
    </r>
  </si>
  <si>
    <r>
      <rPr>
        <b/>
        <sz val="12"/>
        <color theme="1"/>
        <rFont val="Aptos Narrow"/>
        <family val="2"/>
        <scheme val="minor"/>
      </rPr>
      <t>Perimeter angles with upturned lips</t>
    </r>
    <r>
      <rPr>
        <sz val="12"/>
        <color theme="1"/>
        <rFont val="Aptos Narrow"/>
        <family val="2"/>
        <scheme val="minor"/>
      </rPr>
      <t xml:space="preserve"> are notched at unit splits for reconnects. 1.56" notch for Baseline; 2.06" notch for Seismic</t>
    </r>
  </si>
  <si>
    <r>
      <rPr>
        <b/>
        <sz val="12"/>
        <color theme="1"/>
        <rFont val="Aptos Narrow"/>
        <family val="2"/>
        <scheme val="minor"/>
      </rPr>
      <t>Header panels</t>
    </r>
    <r>
      <rPr>
        <sz val="12"/>
        <color theme="1"/>
        <rFont val="Aptos Narrow"/>
        <family val="2"/>
        <scheme val="minor"/>
      </rPr>
      <t xml:space="preserve"> for units with UTL have Y offset in the coil panel parameters equal to UTL height, unless panel is on a footer, then set to zero.</t>
    </r>
  </si>
  <si>
    <r>
      <rPr>
        <b/>
        <sz val="12"/>
        <color theme="1"/>
        <rFont val="Aptos Narrow"/>
        <family val="2"/>
        <scheme val="minor"/>
      </rPr>
      <t>All internals</t>
    </r>
    <r>
      <rPr>
        <sz val="12"/>
        <color theme="1"/>
        <rFont val="Aptos Narrow"/>
        <family val="2"/>
        <scheme val="minor"/>
      </rPr>
      <t xml:space="preserve"> have a notch cut out of the bottom of the left and right blankoffs.</t>
    </r>
  </si>
  <si>
    <r>
      <rPr>
        <b/>
        <sz val="12"/>
        <color theme="1"/>
        <rFont val="Aptos Narrow"/>
        <family val="2"/>
        <scheme val="minor"/>
      </rPr>
      <t>Upturned Lips</t>
    </r>
    <r>
      <rPr>
        <sz val="12"/>
        <color theme="1"/>
        <rFont val="Aptos Narrow"/>
        <family val="2"/>
        <scheme val="minor"/>
      </rPr>
      <t xml:space="preserve"> are not present in the Vestibule unless SQ'ed</t>
    </r>
  </si>
  <si>
    <r>
      <rPr>
        <b/>
        <sz val="12"/>
        <color theme="1"/>
        <rFont val="Aptos Narrow"/>
        <family val="2"/>
        <scheme val="minor"/>
      </rPr>
      <t>Coil Panels</t>
    </r>
    <r>
      <rPr>
        <sz val="12"/>
        <color theme="1"/>
        <rFont val="Aptos Narrow"/>
        <family val="2"/>
        <scheme val="minor"/>
      </rPr>
      <t xml:space="preserve"> - Footers for coil panels in shared walls are present, and equal to UTL height, when both tunnels of the shared wall are upturned lip.</t>
    </r>
  </si>
  <si>
    <r>
      <rPr>
        <b/>
        <sz val="12"/>
        <color theme="1"/>
        <rFont val="Aptos Narrow"/>
        <family val="2"/>
        <scheme val="minor"/>
      </rPr>
      <t>Header panels</t>
    </r>
    <r>
      <rPr>
        <sz val="12"/>
        <color theme="1"/>
        <rFont val="Aptos Narrow"/>
        <family val="2"/>
        <scheme val="minor"/>
      </rPr>
      <t xml:space="preserve"> that are on footers have their height reduced by the footer height.</t>
    </r>
  </si>
  <si>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 xml:space="preserve"> are broken into sub-assemblies small enough for knockdown requirement after welding.</t>
    </r>
  </si>
  <si>
    <r>
      <rPr>
        <b/>
        <sz val="12"/>
        <color theme="1"/>
        <rFont val="Aptos Narrow"/>
        <family val="2"/>
        <scheme val="minor"/>
      </rPr>
      <t>Structural Stands</t>
    </r>
    <r>
      <rPr>
        <sz val="12"/>
        <color theme="1"/>
        <rFont val="Aptos Narrow"/>
        <family val="2"/>
        <scheme val="minor"/>
      </rPr>
      <t xml:space="preserve"> that are welded are designed to fit through Knockdown opening.</t>
    </r>
  </si>
  <si>
    <r>
      <rPr>
        <b/>
        <sz val="12"/>
        <color theme="1"/>
        <rFont val="Aptos Narrow"/>
        <family val="2"/>
        <scheme val="minor"/>
      </rPr>
      <t>All components</t>
    </r>
    <r>
      <rPr>
        <sz val="12"/>
        <color theme="1"/>
        <rFont val="Aptos Narrow"/>
        <family val="2"/>
        <scheme val="minor"/>
      </rPr>
      <t xml:space="preserve"> are measured against the knockdown opening size (Height x Width) and by depth. If depth is not specified, check with PE.</t>
    </r>
  </si>
  <si>
    <r>
      <rPr>
        <b/>
        <sz val="12"/>
        <color theme="1"/>
        <rFont val="Aptos Narrow"/>
        <family val="2"/>
        <scheme val="minor"/>
      </rPr>
      <t>Housing Splits</t>
    </r>
    <r>
      <rPr>
        <sz val="12"/>
        <color theme="1"/>
        <rFont val="Aptos Narrow"/>
        <family val="2"/>
        <scheme val="minor"/>
      </rPr>
      <t xml:space="preserve"> added to meet knockdown requirements and are added in a way to split walls as evenly as possible.</t>
    </r>
  </si>
  <si>
    <r>
      <rPr>
        <b/>
        <sz val="12"/>
        <color theme="1"/>
        <rFont val="Aptos Narrow"/>
        <family val="2"/>
        <scheme val="minor"/>
      </rPr>
      <t>Wall openings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coil panel</t>
    </r>
    <r>
      <rPr>
        <sz val="12"/>
        <color theme="1"/>
        <rFont val="Aptos Narrow"/>
        <family val="2"/>
        <scheme val="minor"/>
      </rPr>
      <t xml:space="preserve"> width parameter match.</t>
    </r>
  </si>
  <si>
    <r>
      <rPr>
        <b/>
        <sz val="12"/>
        <color theme="1"/>
        <rFont val="Aptos Narrow"/>
        <family val="2"/>
        <scheme val="minor"/>
      </rPr>
      <t>Coil Panels</t>
    </r>
    <r>
      <rPr>
        <sz val="12"/>
        <color theme="1"/>
        <rFont val="Aptos Narrow"/>
        <family val="2"/>
        <scheme val="minor"/>
      </rPr>
      <t xml:space="preserve"> have the correct airflow direction.</t>
    </r>
  </si>
  <si>
    <r>
      <rPr>
        <b/>
        <sz val="12"/>
        <color theme="1"/>
        <rFont val="Aptos Narrow"/>
        <family val="2"/>
        <scheme val="minor"/>
      </rPr>
      <t>Return panels</t>
    </r>
    <r>
      <rPr>
        <sz val="12"/>
        <color theme="1"/>
        <rFont val="Aptos Narrow"/>
        <family val="2"/>
        <scheme val="minor"/>
      </rPr>
      <t xml:space="preserve"> have the vent and drain parameter turned off.</t>
    </r>
  </si>
  <si>
    <r>
      <rPr>
        <b/>
        <sz val="12"/>
        <color theme="1"/>
        <rFont val="Aptos Narrow"/>
        <family val="2"/>
        <scheme val="minor"/>
      </rPr>
      <t xml:space="preserve">Coil Panels </t>
    </r>
    <r>
      <rPr>
        <sz val="12"/>
        <color theme="1"/>
        <rFont val="Aptos Narrow"/>
        <family val="2"/>
        <scheme val="minor"/>
      </rPr>
      <t>use Master Model # 391-100006-026</t>
    </r>
  </si>
  <si>
    <r>
      <rPr>
        <b/>
        <sz val="12"/>
        <color theme="1"/>
        <rFont val="Aptos Narrow"/>
        <family val="2"/>
        <scheme val="minor"/>
      </rPr>
      <t>Held Coil panels</t>
    </r>
    <r>
      <rPr>
        <sz val="12"/>
        <color theme="1"/>
        <rFont val="Aptos Narrow"/>
        <family val="2"/>
        <scheme val="minor"/>
      </rPr>
      <t xml:space="preserve"> have no assembly in the MOM BOM.</t>
    </r>
  </si>
  <si>
    <r>
      <t xml:space="preserve">The </t>
    </r>
    <r>
      <rPr>
        <b/>
        <sz val="12"/>
        <color theme="1"/>
        <rFont val="Aptos Narrow"/>
        <family val="2"/>
        <scheme val="minor"/>
      </rPr>
      <t>Downstream staggered coil  header panels</t>
    </r>
    <r>
      <rPr>
        <sz val="12"/>
        <color theme="1"/>
        <rFont val="Aptos Narrow"/>
        <family val="2"/>
        <scheme val="minor"/>
      </rPr>
      <t xml:space="preserve"> have the vent and drain parameter turned off unless an SQ requires extended vent and drains.</t>
    </r>
  </si>
  <si>
    <r>
      <rPr>
        <b/>
        <sz val="12"/>
        <color theme="1"/>
        <rFont val="Aptos Narrow"/>
        <family val="2"/>
        <scheme val="minor"/>
      </rPr>
      <t>Panels for thermal break units</t>
    </r>
    <r>
      <rPr>
        <sz val="12"/>
        <color theme="1"/>
        <rFont val="Aptos Narrow"/>
        <family val="2"/>
        <scheme val="minor"/>
      </rPr>
      <t xml:space="preserve"> have Thermal Break set to Yes</t>
    </r>
  </si>
  <si>
    <r>
      <rPr>
        <b/>
        <sz val="12"/>
        <color theme="1"/>
        <rFont val="Aptos Narrow"/>
        <family val="2"/>
        <scheme val="minor"/>
      </rPr>
      <t>Held Coil Panels</t>
    </r>
    <r>
      <rPr>
        <sz val="12"/>
        <color theme="1"/>
        <rFont val="Aptos Narrow"/>
        <family val="2"/>
        <scheme val="minor"/>
      </rPr>
      <t xml:space="preserve"> are marked as such on the Int-Ext/Skid Packet.</t>
    </r>
  </si>
  <si>
    <r>
      <rPr>
        <b/>
        <sz val="12"/>
        <color theme="1"/>
        <rFont val="Aptos Narrow"/>
        <family val="2"/>
        <scheme val="minor"/>
      </rPr>
      <t>Coil panels</t>
    </r>
    <r>
      <rPr>
        <sz val="12"/>
        <color theme="1"/>
        <rFont val="Aptos Narrow"/>
        <family val="2"/>
        <scheme val="minor"/>
      </rPr>
      <t xml:space="preserve"> have BOM line items and balloons on the Skid Packet</t>
    </r>
  </si>
  <si>
    <r>
      <rPr>
        <b/>
        <sz val="12"/>
        <color theme="1"/>
        <rFont val="Aptos Narrow"/>
        <family val="2"/>
        <scheme val="minor"/>
      </rPr>
      <t>Reconnect MM#: 391-10002-004</t>
    </r>
    <r>
      <rPr>
        <sz val="12"/>
        <color theme="1"/>
        <rFont val="Aptos Narrow"/>
        <family val="2"/>
        <scheme val="minor"/>
      </rPr>
      <t xml:space="preserve"> is used when unit is Seismic.</t>
    </r>
  </si>
  <si>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 xml:space="preserve"> are the correct type for it's use in the unit.</t>
    </r>
  </si>
  <si>
    <r>
      <t xml:space="preserve">All </t>
    </r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 xml:space="preserve"> match the liner material of the segment they are in. Aluminum liner sections should have Stainless Reconnects.</t>
    </r>
  </si>
  <si>
    <r>
      <t xml:space="preserve">Each Split has the correct quantity of </t>
    </r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>.</t>
    </r>
  </si>
  <si>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 xml:space="preserve"> have the correct IW and IH for the tunnel they are in. IW parameter should be reduced 0.50" from tunnel IW.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</si>
  <si>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fits in length of base opening.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</si>
  <si>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has correct qty and location of supports and risers for SQ'ed drain pans.</t>
    </r>
  </si>
  <si>
    <r>
      <t xml:space="preserve">Qty of </t>
    </r>
    <r>
      <rPr>
        <b/>
        <sz val="12"/>
        <color theme="1"/>
        <rFont val="Aptos Narrow"/>
        <family val="2"/>
        <scheme val="minor"/>
      </rPr>
      <t>supports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risers</t>
    </r>
    <r>
      <rPr>
        <sz val="12"/>
        <color theme="1"/>
        <rFont val="Aptos Narrow"/>
        <family val="2"/>
        <scheme val="minor"/>
      </rPr>
      <t xml:space="preserve"> match the BOM.</t>
    </r>
  </si>
  <si>
    <r>
      <t xml:space="preserve">Holes in </t>
    </r>
    <r>
      <rPr>
        <b/>
        <sz val="12"/>
        <color theme="1"/>
        <rFont val="Aptos Narrow"/>
        <family val="2"/>
        <scheme val="minor"/>
      </rPr>
      <t>ladder rack</t>
    </r>
    <r>
      <rPr>
        <sz val="12"/>
        <color theme="1"/>
        <rFont val="Aptos Narrow"/>
        <family val="2"/>
        <scheme val="minor"/>
      </rPr>
      <t xml:space="preserve"> for each coil support.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</si>
  <si>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has correct handing.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</si>
  <si>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to be reduced 1.25" from Left and Right support channels</t>
    </r>
  </si>
  <si>
    <r>
      <rPr>
        <b/>
        <sz val="12"/>
        <color theme="1"/>
        <rFont val="Aptos Narrow"/>
        <family val="2"/>
        <scheme val="minor"/>
      </rPr>
      <t>3 piece drain pan</t>
    </r>
    <r>
      <rPr>
        <sz val="12"/>
        <color theme="1"/>
        <rFont val="Aptos Narrow"/>
        <family val="2"/>
        <scheme val="minor"/>
      </rPr>
      <t xml:space="preserve"> all slope properly.</t>
    </r>
  </si>
  <si>
    <r>
      <rPr>
        <b/>
        <sz val="12"/>
        <color theme="1"/>
        <rFont val="Aptos Narrow"/>
        <family val="2"/>
        <scheme val="minor"/>
      </rPr>
      <t>Drain pan openings</t>
    </r>
    <r>
      <rPr>
        <sz val="12"/>
        <color theme="1"/>
        <rFont val="Aptos Narrow"/>
        <family val="2"/>
        <scheme val="minor"/>
      </rPr>
      <t xml:space="preserve"> in base surfaces match opening dimensions and location in UE.</t>
    </r>
  </si>
  <si>
    <r>
      <rPr>
        <b/>
        <sz val="12"/>
        <color theme="1"/>
        <rFont val="Aptos Narrow"/>
        <family val="2"/>
        <scheme val="minor"/>
      </rPr>
      <t>Drain pan flanges</t>
    </r>
    <r>
      <rPr>
        <sz val="12"/>
        <color theme="1"/>
        <rFont val="Aptos Narrow"/>
        <family val="2"/>
        <scheme val="minor"/>
      </rPr>
      <t xml:space="preserve"> fit between perimeter angles.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</si>
  <si>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is using MM# 391-10006-021</t>
    </r>
  </si>
  <si>
    <r>
      <rPr>
        <b/>
        <sz val="12"/>
        <color theme="1"/>
        <rFont val="Aptos Narrow"/>
        <family val="2"/>
        <scheme val="minor"/>
      </rPr>
      <t>Roof panels</t>
    </r>
    <r>
      <rPr>
        <sz val="12"/>
        <color theme="1"/>
        <rFont val="Aptos Narrow"/>
        <family val="2"/>
        <scheme val="minor"/>
      </rPr>
      <t xml:space="preserve"> do not exceed 106" in more than one direction.</t>
    </r>
  </si>
  <si>
    <r>
      <rPr>
        <b/>
        <sz val="12"/>
        <color theme="1"/>
        <rFont val="Aptos Narrow"/>
        <family val="2"/>
        <scheme val="minor"/>
      </rPr>
      <t>Outdoor units</t>
    </r>
    <r>
      <rPr>
        <sz val="12"/>
        <color theme="1"/>
        <rFont val="Aptos Narrow"/>
        <family val="2"/>
        <scheme val="minor"/>
      </rPr>
      <t xml:space="preserve"> have galvanized roof skins. </t>
    </r>
    <r>
      <rPr>
        <b/>
        <sz val="12"/>
        <color theme="1"/>
        <rFont val="Aptos Narrow"/>
        <family val="2"/>
        <scheme val="minor"/>
      </rPr>
      <t>(Edit Manual - Unit_Construction_Rules, page 23)</t>
    </r>
  </si>
  <si>
    <r>
      <t>Outdoor units</t>
    </r>
    <r>
      <rPr>
        <sz val="12"/>
        <color theme="1"/>
        <rFont val="Aptos Narrow"/>
        <family val="2"/>
        <scheme val="minor"/>
      </rPr>
      <t xml:space="preserve"> have galvanized roof skins. </t>
    </r>
    <r>
      <rPr>
        <b/>
        <sz val="12"/>
        <color theme="1"/>
        <rFont val="Aptos Narrow"/>
        <family val="2"/>
        <scheme val="minor"/>
      </rPr>
      <t>(Edit Manual - Unit_Construction_Rules, page 23)</t>
    </r>
  </si>
  <si>
    <t>d</t>
  </si>
  <si>
    <t>m</t>
  </si>
  <si>
    <t>k</t>
  </si>
  <si>
    <t>k b m</t>
  </si>
  <si>
    <t>dalm</t>
  </si>
  <si>
    <t>c ue</t>
  </si>
  <si>
    <t>kbr</t>
  </si>
  <si>
    <t>archive</t>
  </si>
  <si>
    <t>k remove a</t>
  </si>
  <si>
    <t>kbm</t>
  </si>
  <si>
    <t>k but move/reword</t>
  </si>
  <si>
    <t>k but reword</t>
  </si>
  <si>
    <t>kbt</t>
  </si>
  <si>
    <t>?</t>
  </si>
  <si>
    <t>Paperwork Verifications</t>
  </si>
  <si>
    <t>Change wall/roof specific to Housing</t>
  </si>
  <si>
    <t>Fans</t>
  </si>
  <si>
    <t>Internals</t>
  </si>
  <si>
    <t>Filters</t>
  </si>
  <si>
    <t>UTL</t>
  </si>
  <si>
    <t>Drainpan</t>
  </si>
  <si>
    <t>MOM</t>
  </si>
  <si>
    <t>Consolidate</t>
  </si>
  <si>
    <t>base 01</t>
  </si>
  <si>
    <t>base 02</t>
  </si>
  <si>
    <t>base 03</t>
  </si>
  <si>
    <t>base 04</t>
  </si>
  <si>
    <t>base 10</t>
  </si>
  <si>
    <t>base 11</t>
  </si>
  <si>
    <t>base 12</t>
  </si>
  <si>
    <t>base 13</t>
  </si>
  <si>
    <t>base 14</t>
  </si>
  <si>
    <t>base 15</t>
  </si>
  <si>
    <t>base 16</t>
  </si>
  <si>
    <t>base 17</t>
  </si>
  <si>
    <t>base 18</t>
  </si>
  <si>
    <t>base 19</t>
  </si>
  <si>
    <t>base 20</t>
  </si>
  <si>
    <t>base 21</t>
  </si>
  <si>
    <t>base 22</t>
  </si>
  <si>
    <t>base 23</t>
  </si>
  <si>
    <t>base 24</t>
  </si>
  <si>
    <t>base 25</t>
  </si>
  <si>
    <t>base 05 -&gt; drainpan verification</t>
  </si>
  <si>
    <t>base 06 -&gt; remove</t>
  </si>
  <si>
    <t>base 07 -&gt; remove</t>
  </si>
  <si>
    <t>base 08 -&gt; remove</t>
  </si>
  <si>
    <t>base 09 -&gt; remove</t>
  </si>
  <si>
    <t>remove subgroups</t>
  </si>
  <si>
    <t>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</si>
</sst>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rial"/>
      <family val="2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/>
    <xf numFmtId="0" fontId="3" fillId="0" borderId="0" xfId="0" applyFont="1"/>
    <xf numFmtId="0" fontId="2" fillId="3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3" borderId="6" xfId="0" applyFont="1" applyFill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6" borderId="4" xfId="0" applyFont="1" applyFill="1" applyBorder="1" applyAlignment="1">
      <alignment horizontal="right"/>
    </xf>
    <xf numFmtId="0" fontId="7" fillId="6" borderId="0" xfId="0" applyFont="1" applyFill="1" applyAlignment="1">
      <alignment horizontal="right"/>
    </xf>
    <xf numFmtId="0" fontId="7" fillId="6" borderId="22" xfId="0" applyFont="1" applyFill="1" applyBorder="1" applyAlignment="1">
      <alignment horizontal="right"/>
    </xf>
    <xf numFmtId="0" fontId="8" fillId="0" borderId="0" xfId="0" applyFont="1"/>
    <xf numFmtId="0" fontId="8" fillId="0" borderId="25" xfId="0" applyFont="1" applyBorder="1"/>
    <xf numFmtId="0" fontId="9" fillId="0" borderId="0" xfId="0" applyFont="1"/>
    <xf numFmtId="0" fontId="10" fillId="0" borderId="25" xfId="0" applyFont="1" applyBorder="1"/>
    <xf numFmtId="0" fontId="11" fillId="0" borderId="26" xfId="0" applyFont="1" applyBorder="1" applyAlignment="1">
      <alignment wrapText="1"/>
    </xf>
    <xf numFmtId="0" fontId="10" fillId="0" borderId="27" xfId="0" applyFont="1" applyBorder="1"/>
    <xf numFmtId="0" fontId="10" fillId="0" borderId="0" xfId="0" applyFont="1"/>
    <xf numFmtId="0" fontId="11" fillId="0" borderId="28" xfId="0" applyFont="1" applyBorder="1"/>
    <xf numFmtId="0" fontId="11" fillId="0" borderId="28" xfId="0" applyFont="1" applyBorder="1" applyAlignment="1">
      <alignment horizontal="center" wrapText="1"/>
    </xf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1" fillId="0" borderId="33" xfId="0" applyFont="1" applyBorder="1" applyAlignment="1">
      <alignment horizontal="center" wrapText="1"/>
    </xf>
    <xf numFmtId="0" fontId="7" fillId="3" borderId="11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right"/>
    </xf>
    <xf numFmtId="0" fontId="7" fillId="10" borderId="2" xfId="0" applyFont="1" applyFill="1" applyBorder="1" applyAlignment="1">
      <alignment horizontal="right" wrapText="1"/>
    </xf>
    <xf numFmtId="0" fontId="7" fillId="10" borderId="36" xfId="0" applyFont="1" applyFill="1" applyBorder="1" applyAlignment="1">
      <alignment horizontal="right" wrapText="1"/>
    </xf>
    <xf numFmtId="0" fontId="1" fillId="9" borderId="4" xfId="0" applyFont="1" applyFill="1" applyBorder="1"/>
    <xf numFmtId="0" fontId="1" fillId="6" borderId="4" xfId="0" applyFont="1" applyFill="1" applyBorder="1"/>
    <xf numFmtId="0" fontId="1" fillId="6" borderId="6" xfId="0" applyFont="1" applyFill="1" applyBorder="1"/>
    <xf numFmtId="0" fontId="1" fillId="9" borderId="6" xfId="0" applyFont="1" applyFill="1" applyBorder="1"/>
    <xf numFmtId="0" fontId="12" fillId="10" borderId="11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9" borderId="6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6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11" xfId="0" applyFont="1" applyFill="1" applyBorder="1" applyAlignment="1">
      <alignment horizontal="center"/>
    </xf>
    <xf numFmtId="0" fontId="7" fillId="10" borderId="9" xfId="0" applyFont="1" applyFill="1" applyBorder="1" applyAlignment="1">
      <alignment horizontal="right" wrapText="1"/>
    </xf>
    <xf numFmtId="0" fontId="7" fillId="3" borderId="6" xfId="0" applyFont="1" applyFill="1" applyBorder="1" applyAlignment="1">
      <alignment horizontal="right"/>
    </xf>
    <xf numFmtId="0" fontId="1" fillId="6" borderId="0" xfId="0" applyFont="1" applyFill="1" applyAlignment="1">
      <alignment horizontal="right" vertical="center"/>
    </xf>
    <xf numFmtId="0" fontId="1" fillId="9" borderId="0" xfId="0" applyFont="1" applyFill="1" applyAlignment="1">
      <alignment horizontal="right" vertical="center"/>
    </xf>
    <xf numFmtId="0" fontId="12" fillId="5" borderId="3" xfId="0" applyFont="1" applyFill="1" applyBorder="1" applyAlignment="1">
      <alignment horizontal="center"/>
    </xf>
    <xf numFmtId="0" fontId="1" fillId="9" borderId="11" xfId="0" applyFont="1" applyFill="1" applyBorder="1"/>
    <xf numFmtId="0" fontId="4" fillId="9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33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0" fillId="6" borderId="5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10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7" fillId="6" borderId="15" xfId="0" applyFont="1" applyFill="1" applyBorder="1" applyAlignment="1">
      <alignment horizontal="left"/>
    </xf>
    <xf numFmtId="0" fontId="7" fillId="6" borderId="14" xfId="0" applyFont="1" applyFill="1" applyBorder="1" applyAlignment="1">
      <alignment horizontal="left"/>
    </xf>
    <xf numFmtId="0" fontId="7" fillId="6" borderId="13" xfId="0" applyFont="1" applyFill="1" applyBorder="1" applyAlignment="1">
      <alignment horizontal="left"/>
    </xf>
    <xf numFmtId="0" fontId="12" fillId="10" borderId="7" xfId="0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0" fillId="6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1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5" borderId="11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15" fontId="1" fillId="5" borderId="12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right"/>
    </xf>
    <xf numFmtId="0" fontId="7" fillId="3" borderId="12" xfId="0" applyFont="1" applyFill="1" applyBorder="1" applyAlignment="1">
      <alignment horizontal="right"/>
    </xf>
    <xf numFmtId="0" fontId="7" fillId="6" borderId="11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7" fillId="7" borderId="21" xfId="0" applyFont="1" applyFill="1" applyBorder="1" applyAlignment="1">
      <alignment horizontal="left"/>
    </xf>
    <xf numFmtId="0" fontId="7" fillId="7" borderId="20" xfId="0" applyFont="1" applyFill="1" applyBorder="1" applyAlignment="1">
      <alignment horizontal="left"/>
    </xf>
    <xf numFmtId="0" fontId="7" fillId="7" borderId="19" xfId="0" applyFont="1" applyFill="1" applyBorder="1" applyAlignment="1">
      <alignment horizontal="left"/>
    </xf>
    <xf numFmtId="0" fontId="7" fillId="6" borderId="18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6" borderId="16" xfId="0" applyFont="1" applyFill="1" applyBorder="1" applyAlignment="1">
      <alignment horizontal="left"/>
    </xf>
    <xf numFmtId="0" fontId="7" fillId="7" borderId="15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left"/>
    </xf>
    <xf numFmtId="0" fontId="7" fillId="6" borderId="2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right"/>
    </xf>
    <xf numFmtId="0" fontId="7" fillId="3" borderId="0" xfId="0" applyFont="1" applyFill="1" applyAlignment="1">
      <alignment horizontal="right"/>
    </xf>
    <xf numFmtId="0" fontId="7" fillId="7" borderId="18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7" borderId="16" xfId="0" applyFont="1" applyFill="1" applyBorder="1" applyAlignment="1">
      <alignment horizontal="left"/>
    </xf>
    <xf numFmtId="0" fontId="1" fillId="8" borderId="4" xfId="0" applyFont="1" applyFill="1" applyBorder="1" applyAlignment="1">
      <alignment horizontal="right"/>
    </xf>
    <xf numFmtId="0" fontId="1" fillId="8" borderId="0" xfId="0" applyFont="1" applyFill="1" applyAlignment="1">
      <alignment horizontal="right"/>
    </xf>
    <xf numFmtId="0" fontId="5" fillId="5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6" borderId="10" xfId="0" applyFont="1" applyFill="1" applyBorder="1" applyAlignment="1">
      <alignment horizontal="left" vertical="center"/>
    </xf>
    <xf numFmtId="0" fontId="5" fillId="10" borderId="11" xfId="0" applyFont="1" applyFill="1" applyBorder="1" applyAlignment="1">
      <alignment horizontal="left" indent="1"/>
    </xf>
    <xf numFmtId="0" fontId="5" fillId="10" borderId="12" xfId="0" applyFont="1" applyFill="1" applyBorder="1" applyAlignment="1">
      <alignment horizontal="left" indent="1"/>
    </xf>
    <xf numFmtId="0" fontId="1" fillId="3" borderId="6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0" fontId="7" fillId="3" borderId="34" xfId="0" applyFont="1" applyFill="1" applyBorder="1" applyAlignment="1">
      <alignment horizontal="center"/>
    </xf>
    <xf numFmtId="0" fontId="7" fillId="3" borderId="35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 wrapText="1"/>
    </xf>
    <xf numFmtId="0" fontId="7" fillId="10" borderId="0" xfId="0" applyFont="1" applyFill="1" applyAlignment="1">
      <alignment horizontal="center" wrapText="1"/>
    </xf>
    <xf numFmtId="0" fontId="7" fillId="6" borderId="37" xfId="0" applyFont="1" applyFill="1" applyBorder="1" applyAlignment="1">
      <alignment horizontal="left"/>
    </xf>
    <xf numFmtId="0" fontId="7" fillId="6" borderId="38" xfId="0" applyFont="1" applyFill="1" applyBorder="1" applyAlignment="1">
      <alignment horizontal="left"/>
    </xf>
    <xf numFmtId="0" fontId="7" fillId="6" borderId="39" xfId="0" applyFont="1" applyFill="1" applyBorder="1" applyAlignment="1">
      <alignment horizontal="left"/>
    </xf>
    <xf numFmtId="0" fontId="0" fillId="9" borderId="5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8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0" fillId="9" borderId="1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7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9" borderId="0" xfId="0" applyFont="1" applyFill="1" applyAlignment="1">
      <alignment horizontal="left" vertical="center"/>
    </xf>
    <xf numFmtId="0" fontId="4" fillId="9" borderId="10" xfId="0" applyFont="1" applyFill="1" applyBorder="1" applyAlignment="1">
      <alignment horizontal="left" vertical="center"/>
    </xf>
    <xf numFmtId="0" fontId="0" fillId="9" borderId="0" xfId="0" applyFill="1"/>
    <xf numFmtId="0" fontId="0" fillId="9" borderId="10" xfId="0" applyFill="1" applyBorder="1"/>
    <xf numFmtId="0" fontId="0" fillId="6" borderId="0" xfId="0" applyFill="1"/>
    <xf numFmtId="0" fontId="0" fillId="6" borderId="10" xfId="0" applyFill="1" applyBorder="1"/>
    <xf numFmtId="0" fontId="5" fillId="5" borderId="3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left" vertical="center"/>
    </xf>
    <xf numFmtId="0" fontId="4" fillId="9" borderId="9" xfId="0" applyFont="1" applyFill="1" applyBorder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left" vertical="center"/>
    </xf>
    <xf numFmtId="0" fontId="4" fillId="9" borderId="12" xfId="0" applyFont="1" applyFill="1" applyBorder="1" applyAlignment="1">
      <alignment horizontal="left" vertical="center"/>
    </xf>
    <xf numFmtId="0" fontId="4" fillId="9" borderId="7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</dxf>
  </dxfs>
  <tableStyles count="1" defaultTableStyle="TableStyleMedium2" defaultPivotStyle="PivotStyleLight16">
    <tableStyle name="Table Style 1" pivot="0" count="0" xr9:uid="{6008FBEE-1145-4C1E-95B7-B9CF8F363576}"/>
  </tableStyles>
  <colors>
    <mruColors>
      <color rgb="FF00B0F0"/>
      <color rgb="FF83CCEB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B581F-4562-4E6B-9AE7-77B585F50B2E}" name="Error_Tracker" displayName="Error_Tracker" ref="A7:C16" headerRowDxfId="16" headerRowBorderDxfId="15" tableBorderDxfId="14">
  <autoFilter ref="A7:C16" xr:uid="{356C56F0-C866-491F-ABF0-42704CA7695A}"/>
  <tableColumns count="3">
    <tableColumn id="1" xr3:uid="{8BB19742-992E-4CAD-BC7A-3092FAC8974E}" name="Type" totalsRowLabel="Total" dataDxfId="13" totalsRowDxfId="12"/>
    <tableColumn id="2" xr3:uid="{68FFCDFE-4C3D-4F0D-BF20-0C20001DF9C1}" name="DR" dataDxfId="11" totalsRowDxfId="10"/>
    <tableColumn id="3" xr3:uid="{239AE95B-5E83-480A-8C93-42859F4702B4}" name="DVL" totalsRowFunction="count" dataDxfId="9" totalsRowDxfId="8"/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34E0-F571-46D7-B726-13B20B4211D2}">
  <sheetPr codeName="Sheet1"/>
  <dimension ref="A1:F14"/>
  <sheetViews>
    <sheetView topLeftCell="A2" workbookViewId="0">
      <selection activeCell="B33" sqref="B33"/>
    </sheetView>
  </sheetViews>
  <sheetFormatPr defaultRowHeight="15" customHeight="1" x14ac:dyDescent="0.25"/>
  <cols>
    <col min="1" max="1" width="16.7109375" customWidth="1"/>
    <col min="2" max="3" width="12.7109375" customWidth="1"/>
    <col min="4" max="4" width="79.7109375" customWidth="1"/>
    <col min="5" max="5" width="18.7109375" customWidth="1"/>
    <col min="6" max="6" width="15.7109375" customWidth="1"/>
    <col min="7" max="7" width="9.140625" customWidth="1"/>
  </cols>
  <sheetData>
    <row r="1" spans="1:6" ht="16.5" thickBot="1" x14ac:dyDescent="0.3">
      <c r="A1" s="146" t="s">
        <v>19</v>
      </c>
      <c r="B1" s="146"/>
      <c r="C1" s="146"/>
      <c r="D1" s="146"/>
      <c r="E1" s="146"/>
      <c r="F1" s="146"/>
    </row>
    <row r="2" spans="1:6" ht="16.5" thickBot="1" x14ac:dyDescent="0.3">
      <c r="A2" s="6" t="s">
        <v>18</v>
      </c>
      <c r="B2" s="6" t="s">
        <v>17</v>
      </c>
      <c r="C2" s="6" t="s">
        <v>16</v>
      </c>
      <c r="D2" s="6" t="s">
        <v>15</v>
      </c>
      <c r="E2" s="6" t="s">
        <v>14</v>
      </c>
      <c r="F2" s="6" t="s">
        <v>13</v>
      </c>
    </row>
    <row r="3" spans="1:6" ht="15.75" thickBot="1" x14ac:dyDescent="0.3">
      <c r="A3" s="5" t="s">
        <v>2</v>
      </c>
      <c r="B3" s="5">
        <v>2</v>
      </c>
      <c r="C3" s="4">
        <v>45770</v>
      </c>
      <c r="D3" s="5" t="s">
        <v>12</v>
      </c>
      <c r="E3" s="2">
        <v>45770</v>
      </c>
      <c r="F3" s="1" t="s">
        <v>11</v>
      </c>
    </row>
    <row r="4" spans="1:6" ht="15.75" thickBot="1" x14ac:dyDescent="0.3">
      <c r="A4" s="5" t="s">
        <v>2</v>
      </c>
      <c r="B4" s="5">
        <v>3</v>
      </c>
      <c r="C4" s="4">
        <v>45777</v>
      </c>
      <c r="D4" s="5" t="s">
        <v>10</v>
      </c>
      <c r="E4" s="2">
        <v>45777</v>
      </c>
      <c r="F4" s="1" t="s">
        <v>9</v>
      </c>
    </row>
    <row r="5" spans="1:6" ht="15.75" thickBot="1" x14ac:dyDescent="0.3">
      <c r="A5" s="5" t="s">
        <v>2</v>
      </c>
      <c r="B5" s="5">
        <v>4</v>
      </c>
      <c r="C5" s="4">
        <v>45793</v>
      </c>
      <c r="D5" s="5" t="s">
        <v>8</v>
      </c>
      <c r="E5" s="2">
        <v>45793</v>
      </c>
      <c r="F5" s="1" t="s">
        <v>0</v>
      </c>
    </row>
    <row r="6" spans="1:6" ht="15.75" thickBot="1" x14ac:dyDescent="0.3">
      <c r="A6" s="5" t="s">
        <v>2</v>
      </c>
      <c r="B6" s="5">
        <v>5</v>
      </c>
      <c r="C6" s="4">
        <v>45855</v>
      </c>
      <c r="D6" s="5" t="s">
        <v>7</v>
      </c>
      <c r="E6" s="2">
        <v>45855</v>
      </c>
      <c r="F6" s="1" t="s">
        <v>0</v>
      </c>
    </row>
    <row r="7" spans="1:6" ht="15.75" thickBot="1" x14ac:dyDescent="0.3">
      <c r="A7" s="5" t="s">
        <v>2</v>
      </c>
      <c r="B7" s="5">
        <v>6</v>
      </c>
      <c r="C7" s="4">
        <v>45862</v>
      </c>
      <c r="D7" s="5" t="s">
        <v>6</v>
      </c>
      <c r="E7" s="2">
        <v>45862</v>
      </c>
      <c r="F7" s="1" t="s">
        <v>0</v>
      </c>
    </row>
    <row r="8" spans="1:6" ht="30.75" thickBot="1" x14ac:dyDescent="0.3">
      <c r="A8" s="5" t="s">
        <v>2</v>
      </c>
      <c r="B8" s="5">
        <v>7</v>
      </c>
      <c r="C8" s="4">
        <v>45876</v>
      </c>
      <c r="D8" s="3" t="s">
        <v>5</v>
      </c>
      <c r="E8" s="2">
        <v>45876</v>
      </c>
      <c r="F8" s="1" t="s">
        <v>0</v>
      </c>
    </row>
    <row r="9" spans="1:6" ht="15.75" thickBot="1" x14ac:dyDescent="0.3">
      <c r="A9" s="5" t="s">
        <v>2</v>
      </c>
      <c r="B9" s="5">
        <v>8</v>
      </c>
      <c r="C9" s="4">
        <v>45902</v>
      </c>
      <c r="D9" s="5" t="s">
        <v>4</v>
      </c>
      <c r="E9" s="2">
        <v>45902</v>
      </c>
      <c r="F9" s="1" t="s">
        <v>0</v>
      </c>
    </row>
    <row r="10" spans="1:6" ht="30.75" thickBot="1" x14ac:dyDescent="0.3">
      <c r="A10" s="5" t="s">
        <v>2</v>
      </c>
      <c r="B10" s="5">
        <v>9</v>
      </c>
      <c r="C10" s="4">
        <v>46072</v>
      </c>
      <c r="D10" s="3" t="s">
        <v>3</v>
      </c>
      <c r="E10" s="2">
        <v>46072</v>
      </c>
      <c r="F10" s="1" t="s">
        <v>0</v>
      </c>
    </row>
    <row r="11" spans="1:6" ht="15.75" thickBot="1" x14ac:dyDescent="0.3">
      <c r="A11" s="5" t="s">
        <v>2</v>
      </c>
      <c r="B11" s="5">
        <v>10</v>
      </c>
      <c r="C11" s="4">
        <v>46094</v>
      </c>
      <c r="D11" s="3" t="s">
        <v>1</v>
      </c>
      <c r="E11" s="2">
        <v>46094</v>
      </c>
      <c r="F11" s="1" t="s">
        <v>0</v>
      </c>
    </row>
    <row r="12" spans="1:6" ht="15" customHeight="1" thickBot="1" x14ac:dyDescent="0.3">
      <c r="A12" s="5" t="s">
        <v>2</v>
      </c>
      <c r="B12" s="5">
        <v>11</v>
      </c>
      <c r="C12" s="4">
        <v>46107</v>
      </c>
      <c r="D12" s="3" t="s">
        <v>80</v>
      </c>
      <c r="E12" s="2">
        <v>46107</v>
      </c>
      <c r="F12" s="1" t="s">
        <v>0</v>
      </c>
    </row>
    <row r="13" spans="1:6" ht="30" customHeight="1" thickBot="1" x14ac:dyDescent="0.3">
      <c r="A13" s="5" t="s">
        <v>2</v>
      </c>
      <c r="B13" s="5">
        <v>12</v>
      </c>
      <c r="C13" s="4">
        <v>46135</v>
      </c>
      <c r="D13" s="3" t="s">
        <v>86</v>
      </c>
      <c r="E13" s="2">
        <f>C13</f>
        <v>46135</v>
      </c>
      <c r="F13" s="1" t="s">
        <v>0</v>
      </c>
    </row>
    <row r="14" spans="1:6" ht="15" customHeight="1" thickBot="1" x14ac:dyDescent="0.3">
      <c r="A14" s="5" t="s">
        <v>2</v>
      </c>
      <c r="B14" s="5">
        <v>13</v>
      </c>
      <c r="C14" s="4">
        <v>46140</v>
      </c>
      <c r="D14" s="3" t="s">
        <v>89</v>
      </c>
      <c r="E14" s="2">
        <f>C14</f>
        <v>46140</v>
      </c>
      <c r="F14" s="1" t="s">
        <v>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FCD5-7EBF-4DAD-97BB-EBD026A35D89}">
  <sheetPr codeName="Sheet4">
    <pageSetUpPr fitToPage="1"/>
  </sheetPr>
  <dimension ref="A1:AA223"/>
  <sheetViews>
    <sheetView tabSelected="1" topLeftCell="A16" zoomScaleNormal="100" workbookViewId="0">
      <selection activeCell="Y61" sqref="Y61"/>
    </sheetView>
  </sheetViews>
  <sheetFormatPr defaultColWidth="9.140625" defaultRowHeight="15" customHeight="1" x14ac:dyDescent="0.25"/>
  <cols>
    <col min="1" max="1" width="2.7109375" customWidth="1"/>
    <col min="2" max="3" width="10.7109375" customWidth="1"/>
    <col min="4" max="4" width="20.85546875" customWidth="1"/>
    <col min="5" max="6" width="8.28515625" customWidth="1"/>
    <col min="7" max="7" width="4.42578125" customWidth="1"/>
    <col min="8" max="15" width="8.28515625" customWidth="1"/>
    <col min="16" max="16" width="10.85546875" customWidth="1"/>
    <col min="17" max="19" width="8.28515625" customWidth="1"/>
    <col min="20" max="23" width="9.28515625" customWidth="1"/>
    <col min="24" max="24" width="2.7109375" customWidth="1"/>
    <col min="25" max="25" width="42.7109375" customWidth="1"/>
    <col min="26" max="26" width="9.5703125" bestFit="1" customWidth="1"/>
  </cols>
  <sheetData>
    <row r="1" spans="1:27" ht="16.5" thickBot="1" x14ac:dyDescent="0.3">
      <c r="A1" s="18"/>
      <c r="B1" s="18"/>
      <c r="C1" s="18" t="s">
        <v>72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t="s">
        <v>43</v>
      </c>
    </row>
    <row r="2" spans="1:27" ht="20.100000000000001" customHeight="1" thickBot="1" x14ac:dyDescent="0.3">
      <c r="A2" s="18"/>
      <c r="B2" s="79" t="s">
        <v>71</v>
      </c>
      <c r="C2" s="80"/>
      <c r="D2" s="80"/>
      <c r="E2" s="81"/>
      <c r="F2" s="81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2">
        <v>46171</v>
      </c>
      <c r="V2" s="80"/>
      <c r="W2" s="83"/>
      <c r="X2" s="18"/>
      <c r="Y2" s="18" t="s">
        <v>250</v>
      </c>
      <c r="Z2" s="18"/>
      <c r="AA2" t="s">
        <v>42</v>
      </c>
    </row>
    <row r="3" spans="1:27" ht="15" customHeight="1" thickBot="1" x14ac:dyDescent="0.3">
      <c r="A3" s="18"/>
      <c r="B3" s="84" t="s">
        <v>70</v>
      </c>
      <c r="C3" s="85"/>
      <c r="D3" s="39"/>
      <c r="E3" s="100"/>
      <c r="F3" s="100"/>
      <c r="G3" s="86" t="s">
        <v>69</v>
      </c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8"/>
      <c r="X3" s="18"/>
      <c r="Y3" s="18" t="s">
        <v>251</v>
      </c>
      <c r="Z3" s="18"/>
      <c r="AA3" t="s">
        <v>252</v>
      </c>
    </row>
    <row r="4" spans="1:27" ht="15" customHeight="1" thickBot="1" x14ac:dyDescent="0.3">
      <c r="A4" s="18"/>
      <c r="B4" s="89" t="s">
        <v>68</v>
      </c>
      <c r="C4" s="90"/>
      <c r="D4" s="40"/>
      <c r="E4" s="21"/>
      <c r="F4" s="21"/>
      <c r="G4" s="22">
        <v>1</v>
      </c>
      <c r="H4" s="91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3"/>
      <c r="X4" s="18"/>
      <c r="Y4" t="s">
        <v>79</v>
      </c>
      <c r="Z4" t="s">
        <v>258</v>
      </c>
      <c r="AA4" t="s">
        <v>253</v>
      </c>
    </row>
    <row r="5" spans="1:27" ht="15" customHeight="1" thickBot="1" x14ac:dyDescent="0.3">
      <c r="A5" s="18"/>
      <c r="B5" s="101" t="s">
        <v>67</v>
      </c>
      <c r="C5" s="102"/>
      <c r="D5" s="40"/>
      <c r="E5" s="21"/>
      <c r="F5" s="21"/>
      <c r="G5" s="20">
        <v>2</v>
      </c>
      <c r="H5" s="67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9"/>
      <c r="X5" s="18"/>
      <c r="AA5" t="s">
        <v>254</v>
      </c>
    </row>
    <row r="6" spans="1:27" ht="15" customHeight="1" thickBot="1" x14ac:dyDescent="0.3">
      <c r="A6" s="18"/>
      <c r="B6" s="101" t="s">
        <v>66</v>
      </c>
      <c r="C6" s="102"/>
      <c r="D6" s="40"/>
      <c r="E6" s="21"/>
      <c r="F6" s="21"/>
      <c r="G6" s="20">
        <v>3</v>
      </c>
      <c r="H6" s="97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9"/>
      <c r="X6" s="18"/>
      <c r="AA6" t="s">
        <v>255</v>
      </c>
    </row>
    <row r="7" spans="1:27" ht="15" customHeight="1" thickBot="1" x14ac:dyDescent="0.3">
      <c r="A7" s="18"/>
      <c r="B7" s="101" t="s">
        <v>65</v>
      </c>
      <c r="C7" s="102"/>
      <c r="D7" s="40"/>
      <c r="E7" s="21"/>
      <c r="F7" s="21"/>
      <c r="G7" s="20">
        <v>4</v>
      </c>
      <c r="H7" s="67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9"/>
      <c r="X7" s="18"/>
      <c r="AA7" t="s">
        <v>256</v>
      </c>
    </row>
    <row r="8" spans="1:27" ht="15" customHeight="1" thickBot="1" x14ac:dyDescent="0.3">
      <c r="A8" s="18"/>
      <c r="B8" s="65" t="s">
        <v>64</v>
      </c>
      <c r="C8" s="66"/>
      <c r="D8" s="40"/>
      <c r="E8" s="21"/>
      <c r="F8" s="21"/>
      <c r="G8" s="20">
        <v>5</v>
      </c>
      <c r="H8" s="97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8"/>
      <c r="Z8" t="s">
        <v>40</v>
      </c>
    </row>
    <row r="9" spans="1:27" ht="15" customHeight="1" thickBot="1" x14ac:dyDescent="0.3">
      <c r="A9" s="18"/>
      <c r="B9" s="65" t="s">
        <v>63</v>
      </c>
      <c r="C9" s="66"/>
      <c r="D9" s="40"/>
      <c r="E9" s="21"/>
      <c r="F9" s="21"/>
      <c r="G9" s="20">
        <v>6</v>
      </c>
      <c r="H9" s="67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9"/>
      <c r="X9" s="18"/>
      <c r="Z9" t="s">
        <v>257</v>
      </c>
    </row>
    <row r="10" spans="1:27" ht="15" customHeight="1" thickBot="1" x14ac:dyDescent="0.3">
      <c r="A10" s="18"/>
      <c r="B10" s="65" t="s">
        <v>62</v>
      </c>
      <c r="C10" s="66"/>
      <c r="D10" s="40"/>
      <c r="E10" s="21"/>
      <c r="F10" s="21"/>
      <c r="G10" s="20">
        <v>7</v>
      </c>
      <c r="H10" s="103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8"/>
    </row>
    <row r="11" spans="1:27" ht="15" customHeight="1" thickBot="1" x14ac:dyDescent="0.3">
      <c r="A11" s="18"/>
      <c r="B11" s="65" t="s">
        <v>61</v>
      </c>
      <c r="C11" s="66"/>
      <c r="D11" s="40"/>
      <c r="E11" s="21"/>
      <c r="F11" s="21"/>
      <c r="G11" s="20">
        <v>8</v>
      </c>
      <c r="H11" s="94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6"/>
      <c r="X11" s="18"/>
      <c r="Y11" t="s">
        <v>284</v>
      </c>
    </row>
    <row r="12" spans="1:27" ht="15" customHeight="1" thickBot="1" x14ac:dyDescent="0.3">
      <c r="A12" s="18"/>
      <c r="B12" s="65" t="s">
        <v>60</v>
      </c>
      <c r="C12" s="66"/>
      <c r="D12" s="40"/>
      <c r="E12" s="21"/>
      <c r="F12" s="21"/>
      <c r="G12" s="20">
        <v>9</v>
      </c>
      <c r="H12" s="103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5"/>
      <c r="X12" s="18"/>
    </row>
    <row r="13" spans="1:27" ht="15" customHeight="1" thickBot="1" x14ac:dyDescent="0.3">
      <c r="A13" s="18"/>
      <c r="B13" s="65" t="s">
        <v>59</v>
      </c>
      <c r="C13" s="66"/>
      <c r="D13" s="40"/>
      <c r="E13" s="21"/>
      <c r="F13" s="21"/>
      <c r="G13" s="20">
        <v>10</v>
      </c>
      <c r="H13" s="94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6"/>
      <c r="X13" s="18"/>
    </row>
    <row r="14" spans="1:27" ht="15" customHeight="1" thickBot="1" x14ac:dyDescent="0.3">
      <c r="A14" s="18"/>
      <c r="B14" s="65" t="s">
        <v>58</v>
      </c>
      <c r="C14" s="66"/>
      <c r="D14" s="40"/>
      <c r="E14" s="21"/>
      <c r="F14" s="21"/>
      <c r="G14" s="20">
        <v>11</v>
      </c>
      <c r="H14" s="97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9"/>
      <c r="X14" s="18"/>
    </row>
    <row r="15" spans="1:27" ht="15" customHeight="1" thickBot="1" x14ac:dyDescent="0.3">
      <c r="A15" s="18"/>
      <c r="B15" s="106" t="s">
        <v>57</v>
      </c>
      <c r="C15" s="107"/>
      <c r="D15" s="40"/>
      <c r="E15" s="21"/>
      <c r="F15" s="21"/>
      <c r="G15" s="20">
        <v>12</v>
      </c>
      <c r="H15" s="67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9"/>
      <c r="X15" s="18"/>
    </row>
    <row r="16" spans="1:27" ht="15" customHeight="1" thickBot="1" x14ac:dyDescent="0.3">
      <c r="A16" s="18"/>
      <c r="B16" s="65" t="s">
        <v>56</v>
      </c>
      <c r="C16" s="66"/>
      <c r="D16" s="40"/>
      <c r="E16" s="21"/>
      <c r="F16" s="21"/>
      <c r="G16" s="20">
        <v>13</v>
      </c>
      <c r="H16" s="97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9"/>
      <c r="X16" s="18"/>
    </row>
    <row r="17" spans="1:26" ht="15" customHeight="1" thickBot="1" x14ac:dyDescent="0.3">
      <c r="A17" s="18"/>
      <c r="B17" s="65" t="s">
        <v>55</v>
      </c>
      <c r="C17" s="66"/>
      <c r="D17" s="40"/>
      <c r="E17" s="21"/>
      <c r="F17" s="21"/>
      <c r="G17" s="20">
        <v>14</v>
      </c>
      <c r="H17" s="67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9"/>
      <c r="X17" s="18"/>
    </row>
    <row r="18" spans="1:26" ht="15" customHeight="1" thickBot="1" x14ac:dyDescent="0.3">
      <c r="A18" s="18"/>
      <c r="B18" s="65" t="s">
        <v>54</v>
      </c>
      <c r="C18" s="66"/>
      <c r="D18" s="40"/>
      <c r="E18" s="21"/>
      <c r="F18" s="21"/>
      <c r="G18" s="20">
        <v>15</v>
      </c>
      <c r="H18" s="97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9"/>
      <c r="X18" s="18"/>
    </row>
    <row r="19" spans="1:26" ht="16.5" customHeight="1" thickBot="1" x14ac:dyDescent="0.3">
      <c r="A19" s="18"/>
      <c r="B19" s="65" t="s">
        <v>53</v>
      </c>
      <c r="C19" s="66"/>
      <c r="D19" s="40"/>
      <c r="E19" s="37" t="s">
        <v>50</v>
      </c>
      <c r="F19" s="39"/>
      <c r="G19" s="20">
        <v>16</v>
      </c>
      <c r="H19" s="67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9"/>
      <c r="X19" s="18"/>
    </row>
    <row r="20" spans="1:26" ht="15" customHeight="1" thickBot="1" x14ac:dyDescent="0.3">
      <c r="A20" s="18"/>
      <c r="B20" s="65" t="s">
        <v>52</v>
      </c>
      <c r="C20" s="66"/>
      <c r="D20" s="40"/>
      <c r="E20" s="38" t="s">
        <v>50</v>
      </c>
      <c r="F20" s="51"/>
      <c r="G20" s="20">
        <v>17</v>
      </c>
      <c r="H20" s="103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5"/>
      <c r="X20" s="18"/>
    </row>
    <row r="21" spans="1:26" ht="15" customHeight="1" thickBot="1" x14ac:dyDescent="0.3">
      <c r="A21" s="18"/>
      <c r="B21" s="115" t="s">
        <v>51</v>
      </c>
      <c r="C21" s="116"/>
      <c r="D21" s="40"/>
      <c r="E21" s="52" t="s">
        <v>50</v>
      </c>
      <c r="F21" s="40"/>
      <c r="G21" s="20">
        <v>18</v>
      </c>
      <c r="H21" s="94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6"/>
      <c r="X21" s="18"/>
    </row>
    <row r="22" spans="1:26" ht="15" customHeight="1" thickBot="1" x14ac:dyDescent="0.3">
      <c r="A22" s="18"/>
      <c r="B22" s="117" t="s">
        <v>49</v>
      </c>
      <c r="C22" s="118"/>
      <c r="D22" s="118"/>
      <c r="E22" s="118"/>
      <c r="F22" s="118"/>
      <c r="G22" s="20">
        <v>19</v>
      </c>
      <c r="H22" s="103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5"/>
      <c r="X22" s="18"/>
    </row>
    <row r="23" spans="1:26" ht="15" customHeight="1" x14ac:dyDescent="0.25">
      <c r="A23" s="18"/>
      <c r="B23" s="119"/>
      <c r="C23" s="120"/>
      <c r="D23" s="120"/>
      <c r="E23" s="120"/>
      <c r="F23" s="120"/>
      <c r="G23" s="20">
        <v>20</v>
      </c>
      <c r="H23" s="94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6"/>
      <c r="X23" s="18"/>
    </row>
    <row r="24" spans="1:26" ht="15" customHeight="1" x14ac:dyDescent="0.25">
      <c r="A24" s="18"/>
      <c r="B24" s="119"/>
      <c r="C24" s="120"/>
      <c r="D24" s="120"/>
      <c r="E24" s="120"/>
      <c r="F24" s="120"/>
      <c r="G24" s="20">
        <v>21</v>
      </c>
      <c r="H24" s="97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9"/>
      <c r="X24" s="18"/>
    </row>
    <row r="25" spans="1:26" ht="15" customHeight="1" thickBot="1" x14ac:dyDescent="0.3">
      <c r="A25" s="18"/>
      <c r="B25" s="119"/>
      <c r="C25" s="120"/>
      <c r="D25" s="120"/>
      <c r="E25" s="120"/>
      <c r="F25" s="120"/>
      <c r="G25" s="20">
        <v>22</v>
      </c>
      <c r="H25" s="121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3"/>
      <c r="X25" s="18"/>
      <c r="Y25" s="19" t="s">
        <v>48</v>
      </c>
      <c r="Z25" s="19" t="s">
        <v>47</v>
      </c>
    </row>
    <row r="26" spans="1:26" ht="15" customHeight="1" thickBot="1" x14ac:dyDescent="0.3">
      <c r="B26" s="108" t="s">
        <v>112</v>
      </c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10"/>
    </row>
    <row r="27" spans="1:26" ht="15" customHeight="1" thickBot="1" x14ac:dyDescent="0.3">
      <c r="B27" s="76" t="s">
        <v>43</v>
      </c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8"/>
    </row>
    <row r="28" spans="1:26" ht="15" customHeight="1" x14ac:dyDescent="0.25">
      <c r="B28" s="113" t="s">
        <v>93</v>
      </c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45" t="s">
        <v>44</v>
      </c>
      <c r="T28" s="64" t="s">
        <v>107</v>
      </c>
      <c r="U28" s="64"/>
      <c r="V28" s="64" t="s">
        <v>106</v>
      </c>
      <c r="W28" s="70"/>
    </row>
    <row r="29" spans="1:26" ht="15" customHeight="1" x14ac:dyDescent="0.25">
      <c r="B29" s="41">
        <v>1</v>
      </c>
      <c r="C29" s="130" t="s">
        <v>115</v>
      </c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1"/>
      <c r="S29" s="46" t="b">
        <v>0</v>
      </c>
      <c r="T29" s="63" t="b">
        <v>0</v>
      </c>
      <c r="U29" s="63"/>
      <c r="V29" s="63" t="b">
        <v>0</v>
      </c>
      <c r="W29" s="75"/>
      <c r="Y29" t="s">
        <v>259</v>
      </c>
    </row>
    <row r="30" spans="1:26" ht="15" customHeight="1" x14ac:dyDescent="0.25">
      <c r="B30" s="42">
        <v>2</v>
      </c>
      <c r="C30" s="111" t="s">
        <v>114</v>
      </c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2"/>
      <c r="S30" s="47" t="b">
        <v>0</v>
      </c>
      <c r="T30" s="73" t="b">
        <v>0</v>
      </c>
      <c r="U30" s="73"/>
      <c r="V30" s="73" t="b">
        <v>0</v>
      </c>
      <c r="W30" s="74"/>
      <c r="Y30" t="s">
        <v>260</v>
      </c>
      <c r="Z30" s="41" t="s">
        <v>238</v>
      </c>
    </row>
    <row r="31" spans="1:26" ht="15" customHeight="1" x14ac:dyDescent="0.25">
      <c r="B31" s="41">
        <v>3</v>
      </c>
      <c r="C31" s="130" t="s">
        <v>116</v>
      </c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1"/>
      <c r="S31" s="46" t="b">
        <v>0</v>
      </c>
      <c r="T31" s="63" t="b">
        <v>0</v>
      </c>
      <c r="U31" s="63"/>
      <c r="V31" s="63" t="b">
        <v>0</v>
      </c>
      <c r="W31" s="75"/>
      <c r="Y31" t="s">
        <v>261</v>
      </c>
      <c r="Z31" s="42" t="s">
        <v>238</v>
      </c>
    </row>
    <row r="32" spans="1:26" ht="15" customHeight="1" thickBot="1" x14ac:dyDescent="0.3">
      <c r="B32" s="42">
        <v>4</v>
      </c>
      <c r="C32" s="111" t="s">
        <v>117</v>
      </c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2"/>
      <c r="S32" s="47" t="b">
        <v>0</v>
      </c>
      <c r="T32" s="73" t="b">
        <v>0</v>
      </c>
      <c r="U32" s="73"/>
      <c r="V32" s="73" t="b">
        <v>0</v>
      </c>
      <c r="W32" s="74"/>
      <c r="Y32" t="s">
        <v>262</v>
      </c>
      <c r="Z32" s="44" t="s">
        <v>238</v>
      </c>
    </row>
    <row r="33" spans="2:26" ht="15" customHeight="1" x14ac:dyDescent="0.25">
      <c r="B33" s="41">
        <v>5</v>
      </c>
      <c r="C33" s="130" t="s">
        <v>118</v>
      </c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1"/>
      <c r="S33" s="46" t="b">
        <v>0</v>
      </c>
      <c r="T33" s="63" t="b">
        <v>0</v>
      </c>
      <c r="U33" s="63"/>
      <c r="V33" s="63" t="b">
        <v>0</v>
      </c>
      <c r="W33" s="75"/>
      <c r="Y33" t="s">
        <v>279</v>
      </c>
    </row>
    <row r="34" spans="2:26" ht="15" customHeight="1" x14ac:dyDescent="0.25">
      <c r="B34" s="42">
        <v>6</v>
      </c>
      <c r="C34" s="111" t="s">
        <v>119</v>
      </c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2"/>
      <c r="S34" s="47" t="b">
        <v>0</v>
      </c>
      <c r="T34" s="73" t="b">
        <v>0</v>
      </c>
      <c r="U34" s="73"/>
      <c r="V34" s="73" t="b">
        <v>0</v>
      </c>
      <c r="W34" s="74"/>
      <c r="Y34" t="s">
        <v>280</v>
      </c>
    </row>
    <row r="35" spans="2:26" ht="15" customHeight="1" thickBot="1" x14ac:dyDescent="0.3">
      <c r="B35" s="44">
        <v>7</v>
      </c>
      <c r="C35" s="130" t="s">
        <v>120</v>
      </c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1"/>
      <c r="S35" s="48" t="b">
        <v>0</v>
      </c>
      <c r="T35" s="124" t="b">
        <v>0</v>
      </c>
      <c r="U35" s="124"/>
      <c r="V35" s="124" t="b">
        <v>0</v>
      </c>
      <c r="W35" s="125"/>
      <c r="Y35" t="s">
        <v>281</v>
      </c>
    </row>
    <row r="36" spans="2:26" ht="15" customHeight="1" x14ac:dyDescent="0.25">
      <c r="B36" s="113" t="s">
        <v>90</v>
      </c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45" t="s">
        <v>44</v>
      </c>
      <c r="T36" s="64" t="s">
        <v>107</v>
      </c>
      <c r="U36" s="64"/>
      <c r="V36" s="64" t="s">
        <v>106</v>
      </c>
      <c r="W36" s="70"/>
    </row>
    <row r="37" spans="2:26" ht="15" customHeight="1" x14ac:dyDescent="0.25">
      <c r="B37" s="41">
        <v>1</v>
      </c>
      <c r="C37" s="130" t="s">
        <v>121</v>
      </c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1"/>
      <c r="S37" s="46" t="b">
        <v>0</v>
      </c>
      <c r="T37" s="63" t="b">
        <v>0</v>
      </c>
      <c r="U37" s="63"/>
      <c r="V37" s="63" t="b">
        <v>0</v>
      </c>
      <c r="W37" s="75"/>
      <c r="Y37" t="s">
        <v>282</v>
      </c>
    </row>
    <row r="38" spans="2:26" ht="15" customHeight="1" thickBot="1" x14ac:dyDescent="0.3">
      <c r="B38" s="43">
        <v>2</v>
      </c>
      <c r="C38" s="111" t="s">
        <v>122</v>
      </c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2"/>
      <c r="S38" s="49" t="b">
        <v>0</v>
      </c>
      <c r="T38" s="61" t="b">
        <v>0</v>
      </c>
      <c r="U38" s="61"/>
      <c r="V38" s="61" t="b">
        <v>0</v>
      </c>
      <c r="W38" s="62"/>
      <c r="Y38" t="s">
        <v>283</v>
      </c>
      <c r="Z38" s="44"/>
    </row>
    <row r="39" spans="2:26" ht="15" customHeight="1" x14ac:dyDescent="0.25">
      <c r="B39" s="113" t="s">
        <v>91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45" t="s">
        <v>44</v>
      </c>
      <c r="T39" s="64" t="s">
        <v>107</v>
      </c>
      <c r="U39" s="64"/>
      <c r="V39" s="64" t="s">
        <v>106</v>
      </c>
      <c r="W39" s="70"/>
    </row>
    <row r="40" spans="2:26" ht="15" customHeight="1" x14ac:dyDescent="0.25">
      <c r="B40" s="41">
        <v>1</v>
      </c>
      <c r="C40" s="130" t="s">
        <v>123</v>
      </c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1"/>
      <c r="S40" s="46" t="b">
        <v>0</v>
      </c>
      <c r="T40" s="63" t="b">
        <v>0</v>
      </c>
      <c r="U40" s="63"/>
      <c r="V40" s="63" t="b">
        <v>0</v>
      </c>
      <c r="W40" s="75"/>
      <c r="Y40" t="s">
        <v>263</v>
      </c>
      <c r="Z40" s="41"/>
    </row>
    <row r="41" spans="2:26" ht="15" customHeight="1" x14ac:dyDescent="0.25">
      <c r="B41" s="42">
        <v>3</v>
      </c>
      <c r="C41" s="111" t="s">
        <v>124</v>
      </c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2"/>
      <c r="S41" s="47" t="b">
        <v>0</v>
      </c>
      <c r="T41" s="73" t="b">
        <v>0</v>
      </c>
      <c r="U41" s="73"/>
      <c r="V41" s="73" t="b">
        <v>0</v>
      </c>
      <c r="W41" s="74"/>
      <c r="Y41" t="s">
        <v>264</v>
      </c>
      <c r="Z41" s="42"/>
    </row>
    <row r="42" spans="2:26" ht="15" customHeight="1" x14ac:dyDescent="0.25">
      <c r="B42" s="41">
        <v>4</v>
      </c>
      <c r="C42" s="130" t="s">
        <v>125</v>
      </c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1"/>
      <c r="S42" s="46" t="b">
        <v>0</v>
      </c>
      <c r="T42" s="63" t="b">
        <v>0</v>
      </c>
      <c r="U42" s="63"/>
      <c r="V42" s="63" t="b">
        <v>0</v>
      </c>
      <c r="W42" s="75"/>
      <c r="Y42" t="s">
        <v>265</v>
      </c>
      <c r="Z42" s="41"/>
    </row>
    <row r="43" spans="2:26" ht="15" customHeight="1" thickBot="1" x14ac:dyDescent="0.3">
      <c r="B43" s="42">
        <v>5</v>
      </c>
      <c r="C43" s="111" t="s">
        <v>126</v>
      </c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2"/>
      <c r="S43" s="47" t="b">
        <v>0</v>
      </c>
      <c r="T43" s="73" t="b">
        <v>0</v>
      </c>
      <c r="U43" s="73"/>
      <c r="V43" s="73" t="b">
        <v>0</v>
      </c>
      <c r="W43" s="74"/>
      <c r="Y43" t="s">
        <v>266</v>
      </c>
      <c r="Z43" s="43"/>
    </row>
    <row r="44" spans="2:26" ht="15" customHeight="1" x14ac:dyDescent="0.25">
      <c r="B44" s="113" t="s">
        <v>92</v>
      </c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45" t="s">
        <v>44</v>
      </c>
      <c r="T44" s="64" t="s">
        <v>107</v>
      </c>
      <c r="U44" s="64"/>
      <c r="V44" s="64" t="s">
        <v>106</v>
      </c>
      <c r="W44" s="70"/>
      <c r="Z44" s="41"/>
    </row>
    <row r="45" spans="2:26" ht="15" customHeight="1" thickBot="1" x14ac:dyDescent="0.3">
      <c r="B45" s="44">
        <v>1</v>
      </c>
      <c r="C45" s="130" t="s">
        <v>174</v>
      </c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1"/>
      <c r="S45" s="48" t="b">
        <v>0</v>
      </c>
      <c r="T45" s="124" t="b">
        <v>0</v>
      </c>
      <c r="U45" s="124"/>
      <c r="V45" s="124" t="b">
        <v>0</v>
      </c>
      <c r="W45" s="125"/>
      <c r="Y45" t="s">
        <v>267</v>
      </c>
      <c r="Z45" s="43"/>
    </row>
    <row r="46" spans="2:26" ht="15" customHeight="1" x14ac:dyDescent="0.25">
      <c r="B46" s="113" t="s">
        <v>94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45" t="s">
        <v>44</v>
      </c>
      <c r="T46" s="64" t="s">
        <v>107</v>
      </c>
      <c r="U46" s="64"/>
      <c r="V46" s="64" t="s">
        <v>106</v>
      </c>
      <c r="W46" s="70"/>
      <c r="Z46" s="41"/>
    </row>
    <row r="47" spans="2:26" ht="15" customHeight="1" x14ac:dyDescent="0.25">
      <c r="B47" s="41">
        <v>1</v>
      </c>
      <c r="C47" s="130" t="s">
        <v>127</v>
      </c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1"/>
      <c r="S47" s="46" t="b">
        <v>0</v>
      </c>
      <c r="T47" s="63" t="b">
        <v>0</v>
      </c>
      <c r="U47" s="63"/>
      <c r="V47" s="63" t="b">
        <v>0</v>
      </c>
      <c r="W47" s="75"/>
      <c r="Y47" t="s">
        <v>268</v>
      </c>
      <c r="Z47" s="42"/>
    </row>
    <row r="48" spans="2:26" ht="15" customHeight="1" x14ac:dyDescent="0.25">
      <c r="B48" s="42">
        <v>2</v>
      </c>
      <c r="C48" s="111" t="s">
        <v>128</v>
      </c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2"/>
      <c r="S48" s="47" t="b">
        <v>0</v>
      </c>
      <c r="T48" s="73" t="b">
        <v>0</v>
      </c>
      <c r="U48" s="73"/>
      <c r="V48" s="73" t="b">
        <v>0</v>
      </c>
      <c r="W48" s="74"/>
      <c r="Y48" t="s">
        <v>269</v>
      </c>
      <c r="Z48" s="41"/>
    </row>
    <row r="49" spans="2:26" ht="15" customHeight="1" x14ac:dyDescent="0.25">
      <c r="B49" s="41"/>
      <c r="C49" s="54" t="s">
        <v>99</v>
      </c>
      <c r="D49" s="132" t="s">
        <v>131</v>
      </c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3"/>
      <c r="S49" s="46" t="b">
        <v>0</v>
      </c>
      <c r="T49" s="63" t="b">
        <v>0</v>
      </c>
      <c r="U49" s="63"/>
      <c r="V49" s="63" t="b">
        <v>0</v>
      </c>
      <c r="W49" s="75"/>
      <c r="Y49" t="s">
        <v>270</v>
      </c>
      <c r="Z49" s="42"/>
    </row>
    <row r="50" spans="2:26" ht="15" customHeight="1" x14ac:dyDescent="0.25">
      <c r="B50" s="42"/>
      <c r="C50" s="53" t="s">
        <v>100</v>
      </c>
      <c r="D50" s="134" t="s">
        <v>132</v>
      </c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5"/>
      <c r="S50" s="47" t="b">
        <v>0</v>
      </c>
      <c r="T50" s="73" t="b">
        <v>0</v>
      </c>
      <c r="U50" s="73"/>
      <c r="V50" s="73" t="b">
        <v>0</v>
      </c>
      <c r="W50" s="74"/>
      <c r="Y50" t="s">
        <v>271</v>
      </c>
      <c r="Z50" s="41"/>
    </row>
    <row r="51" spans="2:26" ht="15" customHeight="1" x14ac:dyDescent="0.25">
      <c r="B51" s="41">
        <v>3</v>
      </c>
      <c r="C51" s="130" t="s">
        <v>129</v>
      </c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1"/>
      <c r="S51" s="46" t="b">
        <v>0</v>
      </c>
      <c r="T51" s="63" t="b">
        <v>0</v>
      </c>
      <c r="U51" s="63"/>
      <c r="V51" s="63" t="b">
        <v>0</v>
      </c>
      <c r="W51" s="75"/>
      <c r="Y51" t="s">
        <v>272</v>
      </c>
      <c r="Z51" s="42"/>
    </row>
    <row r="52" spans="2:26" ht="15" customHeight="1" x14ac:dyDescent="0.25">
      <c r="B52" s="42">
        <v>4</v>
      </c>
      <c r="C52" s="111" t="s">
        <v>130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2"/>
      <c r="S52" s="47" t="b">
        <v>0</v>
      </c>
      <c r="T52" s="73" t="b">
        <v>0</v>
      </c>
      <c r="U52" s="73"/>
      <c r="V52" s="73" t="b">
        <v>0</v>
      </c>
      <c r="W52" s="74"/>
      <c r="Y52" t="s">
        <v>273</v>
      </c>
      <c r="Z52" s="41"/>
    </row>
    <row r="53" spans="2:26" ht="15" customHeight="1" thickBot="1" x14ac:dyDescent="0.3">
      <c r="B53" s="41">
        <v>5</v>
      </c>
      <c r="C53" s="130" t="s">
        <v>133</v>
      </c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1"/>
      <c r="S53" s="46" t="b">
        <v>0</v>
      </c>
      <c r="T53" s="63" t="b">
        <v>0</v>
      </c>
      <c r="U53" s="63"/>
      <c r="V53" s="63" t="b">
        <v>0</v>
      </c>
      <c r="W53" s="75"/>
      <c r="Y53" t="s">
        <v>274</v>
      </c>
      <c r="Z53" s="42"/>
    </row>
    <row r="54" spans="2:26" ht="15" customHeight="1" x14ac:dyDescent="0.25">
      <c r="B54" s="113" t="s">
        <v>95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45" t="s">
        <v>44</v>
      </c>
      <c r="T54" s="64" t="s">
        <v>107</v>
      </c>
      <c r="U54" s="64"/>
      <c r="V54" s="64" t="s">
        <v>106</v>
      </c>
      <c r="W54" s="70"/>
    </row>
    <row r="55" spans="2:26" ht="15" customHeight="1" x14ac:dyDescent="0.25">
      <c r="B55" s="41">
        <v>1</v>
      </c>
      <c r="C55" s="130" t="s">
        <v>134</v>
      </c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1"/>
      <c r="S55" s="46" t="b">
        <v>0</v>
      </c>
      <c r="T55" s="63" t="b">
        <v>0</v>
      </c>
      <c r="U55" s="63"/>
      <c r="V55" s="63" t="b">
        <v>0</v>
      </c>
      <c r="W55" s="75"/>
      <c r="Y55" t="s">
        <v>275</v>
      </c>
    </row>
    <row r="56" spans="2:26" ht="15" customHeight="1" x14ac:dyDescent="0.25">
      <c r="B56" s="42">
        <v>2</v>
      </c>
      <c r="C56" s="111" t="s">
        <v>137</v>
      </c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2"/>
      <c r="S56" s="47" t="b">
        <v>0</v>
      </c>
      <c r="T56" s="73" t="b">
        <v>0</v>
      </c>
      <c r="U56" s="73"/>
      <c r="V56" s="73" t="b">
        <v>0</v>
      </c>
      <c r="W56" s="74"/>
      <c r="Y56" t="s">
        <v>276</v>
      </c>
    </row>
    <row r="57" spans="2:26" ht="15" customHeight="1" x14ac:dyDescent="0.25">
      <c r="B57" s="41">
        <v>3</v>
      </c>
      <c r="C57" s="130" t="s">
        <v>136</v>
      </c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1"/>
      <c r="S57" s="46" t="b">
        <v>0</v>
      </c>
      <c r="T57" s="63" t="b">
        <v>0</v>
      </c>
      <c r="U57" s="63"/>
      <c r="V57" s="63" t="b">
        <v>0</v>
      </c>
      <c r="W57" s="75"/>
      <c r="Y57" t="s">
        <v>277</v>
      </c>
    </row>
    <row r="58" spans="2:26" ht="15" customHeight="1" thickBot="1" x14ac:dyDescent="0.3">
      <c r="B58" s="42">
        <v>4</v>
      </c>
      <c r="C58" s="111" t="s">
        <v>135</v>
      </c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2"/>
      <c r="S58" s="47" t="b">
        <v>0</v>
      </c>
      <c r="T58" s="73" t="b">
        <v>0</v>
      </c>
      <c r="U58" s="73"/>
      <c r="V58" s="73" t="b">
        <v>0</v>
      </c>
      <c r="W58" s="74"/>
      <c r="Y58" t="s">
        <v>278</v>
      </c>
    </row>
    <row r="59" spans="2:26" ht="15" customHeight="1" thickBot="1" x14ac:dyDescent="0.3">
      <c r="B59" s="76" t="s">
        <v>42</v>
      </c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8"/>
    </row>
    <row r="60" spans="2:26" ht="15" customHeight="1" x14ac:dyDescent="0.25">
      <c r="B60" s="113" t="s">
        <v>96</v>
      </c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45" t="s">
        <v>44</v>
      </c>
      <c r="T60" s="64" t="s">
        <v>107</v>
      </c>
      <c r="U60" s="64"/>
      <c r="V60" s="64" t="s">
        <v>106</v>
      </c>
      <c r="W60" s="70"/>
    </row>
    <row r="61" spans="2:26" ht="15" customHeight="1" x14ac:dyDescent="0.25">
      <c r="B61" s="41">
        <v>1</v>
      </c>
      <c r="C61" s="130" t="s">
        <v>138</v>
      </c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1"/>
      <c r="S61" s="46" t="b">
        <v>0</v>
      </c>
      <c r="T61" s="63" t="b">
        <v>0</v>
      </c>
      <c r="U61" s="63"/>
      <c r="V61" s="63" t="b">
        <v>0</v>
      </c>
      <c r="W61" s="75"/>
    </row>
    <row r="62" spans="2:26" ht="15" customHeight="1" x14ac:dyDescent="0.25">
      <c r="B62" s="42">
        <v>2</v>
      </c>
      <c r="C62" s="111" t="s">
        <v>139</v>
      </c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2"/>
      <c r="S62" s="47" t="b">
        <v>0</v>
      </c>
      <c r="T62" s="73" t="b">
        <v>0</v>
      </c>
      <c r="U62" s="73"/>
      <c r="V62" s="73" t="b">
        <v>0</v>
      </c>
      <c r="W62" s="74"/>
    </row>
    <row r="63" spans="2:26" ht="15" customHeight="1" x14ac:dyDescent="0.25">
      <c r="B63" s="41">
        <v>3</v>
      </c>
      <c r="C63" s="130" t="s">
        <v>150</v>
      </c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1"/>
      <c r="S63" s="46" t="b">
        <v>0</v>
      </c>
      <c r="T63" s="63" t="b">
        <v>0</v>
      </c>
      <c r="U63" s="63"/>
      <c r="V63" s="63" t="b">
        <v>0</v>
      </c>
      <c r="W63" s="75"/>
    </row>
    <row r="64" spans="2:26" ht="15" customHeight="1" x14ac:dyDescent="0.25">
      <c r="B64" s="42">
        <v>4</v>
      </c>
      <c r="C64" s="111" t="s">
        <v>152</v>
      </c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2"/>
      <c r="S64" s="47" t="b">
        <v>0</v>
      </c>
      <c r="T64" s="73" t="b">
        <v>0</v>
      </c>
      <c r="U64" s="73" t="b">
        <v>0</v>
      </c>
      <c r="V64" s="73" t="b">
        <v>0</v>
      </c>
      <c r="W64" s="74" t="b">
        <v>0</v>
      </c>
    </row>
    <row r="65" spans="2:25" ht="15" customHeight="1" x14ac:dyDescent="0.25">
      <c r="B65" s="41">
        <v>5</v>
      </c>
      <c r="C65" s="130" t="s">
        <v>140</v>
      </c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1"/>
      <c r="S65" s="46" t="b">
        <v>0</v>
      </c>
      <c r="T65" s="63" t="b">
        <v>0</v>
      </c>
      <c r="U65" s="63"/>
      <c r="V65" s="63" t="b">
        <v>0</v>
      </c>
      <c r="W65" s="75"/>
    </row>
    <row r="66" spans="2:25" ht="15" customHeight="1" x14ac:dyDescent="0.25">
      <c r="B66" s="42">
        <v>6</v>
      </c>
      <c r="C66" s="111" t="s">
        <v>141</v>
      </c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2"/>
      <c r="S66" s="47" t="b">
        <v>0</v>
      </c>
      <c r="T66" s="73" t="b">
        <v>0</v>
      </c>
      <c r="U66" s="73"/>
      <c r="V66" s="73" t="b">
        <v>0</v>
      </c>
      <c r="W66" s="74"/>
      <c r="Y66" t="s">
        <v>285</v>
      </c>
    </row>
    <row r="67" spans="2:25" ht="15" customHeight="1" x14ac:dyDescent="0.25">
      <c r="B67" s="41">
        <v>7</v>
      </c>
      <c r="C67" s="130" t="s">
        <v>142</v>
      </c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1"/>
      <c r="S67" s="46" t="b">
        <v>0</v>
      </c>
      <c r="T67" s="63" t="b">
        <v>0</v>
      </c>
      <c r="U67" s="63"/>
      <c r="V67" s="63" t="b">
        <v>0</v>
      </c>
      <c r="W67" s="75"/>
    </row>
    <row r="68" spans="2:25" ht="15" customHeight="1" x14ac:dyDescent="0.25">
      <c r="B68" s="42">
        <v>8</v>
      </c>
      <c r="C68" s="111" t="s">
        <v>144</v>
      </c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2"/>
      <c r="S68" s="47" t="b">
        <v>0</v>
      </c>
      <c r="T68" s="73" t="b">
        <v>0</v>
      </c>
      <c r="U68" s="73"/>
      <c r="V68" s="73" t="b">
        <v>0</v>
      </c>
      <c r="W68" s="74"/>
    </row>
    <row r="69" spans="2:25" ht="15" customHeight="1" x14ac:dyDescent="0.25">
      <c r="B69" s="41">
        <v>9</v>
      </c>
      <c r="C69" s="130" t="s">
        <v>143</v>
      </c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1"/>
      <c r="S69" s="46" t="b">
        <v>0</v>
      </c>
      <c r="T69" s="63" t="b">
        <v>0</v>
      </c>
      <c r="U69" s="63"/>
      <c r="V69" s="63" t="b">
        <v>0</v>
      </c>
      <c r="W69" s="75"/>
    </row>
    <row r="70" spans="2:25" ht="15" customHeight="1" x14ac:dyDescent="0.25">
      <c r="B70" s="42">
        <v>10</v>
      </c>
      <c r="C70" s="111" t="s">
        <v>145</v>
      </c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2"/>
      <c r="S70" s="47" t="b">
        <v>0</v>
      </c>
      <c r="T70" s="73" t="b">
        <v>0</v>
      </c>
      <c r="U70" s="73"/>
      <c r="V70" s="73" t="b">
        <v>0</v>
      </c>
      <c r="W70" s="74"/>
    </row>
    <row r="71" spans="2:25" ht="15" customHeight="1" x14ac:dyDescent="0.25">
      <c r="B71" s="41">
        <v>11</v>
      </c>
      <c r="C71" s="130" t="s">
        <v>168</v>
      </c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1"/>
      <c r="S71" s="46" t="b">
        <v>0</v>
      </c>
      <c r="T71" s="63" t="b">
        <v>0</v>
      </c>
      <c r="U71" s="63"/>
      <c r="V71" s="63" t="b">
        <v>0</v>
      </c>
      <c r="W71" s="75"/>
    </row>
    <row r="72" spans="2:25" ht="15" customHeight="1" x14ac:dyDescent="0.25">
      <c r="B72" s="42">
        <v>12</v>
      </c>
      <c r="C72" s="111" t="s">
        <v>41</v>
      </c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2"/>
      <c r="S72" s="47" t="b">
        <v>0</v>
      </c>
      <c r="T72" s="73" t="b">
        <v>0</v>
      </c>
      <c r="U72" s="73"/>
      <c r="V72" s="73" t="b">
        <v>0</v>
      </c>
      <c r="W72" s="74"/>
    </row>
    <row r="73" spans="2:25" ht="15" customHeight="1" x14ac:dyDescent="0.25">
      <c r="B73" s="41">
        <v>13</v>
      </c>
      <c r="C73" s="130" t="s">
        <v>146</v>
      </c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1"/>
      <c r="S73" s="46" t="b">
        <v>0</v>
      </c>
      <c r="T73" s="63" t="b">
        <v>0</v>
      </c>
      <c r="U73" s="63"/>
      <c r="V73" s="63" t="b">
        <v>0</v>
      </c>
      <c r="W73" s="75"/>
    </row>
    <row r="74" spans="2:25" ht="15" customHeight="1" x14ac:dyDescent="0.25">
      <c r="B74" s="42">
        <v>14</v>
      </c>
      <c r="C74" s="111" t="s">
        <v>147</v>
      </c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2"/>
      <c r="S74" s="47" t="b">
        <v>0</v>
      </c>
      <c r="T74" s="73" t="b">
        <v>0</v>
      </c>
      <c r="U74" s="73"/>
      <c r="V74" s="73" t="b">
        <v>0</v>
      </c>
      <c r="W74" s="74"/>
    </row>
    <row r="75" spans="2:25" ht="15" customHeight="1" x14ac:dyDescent="0.25">
      <c r="B75" s="41">
        <v>15</v>
      </c>
      <c r="C75" s="130" t="s">
        <v>148</v>
      </c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1"/>
      <c r="S75" s="46" t="b">
        <v>0</v>
      </c>
      <c r="T75" s="63" t="b">
        <v>0</v>
      </c>
      <c r="U75" s="63"/>
      <c r="V75" s="63" t="b">
        <v>0</v>
      </c>
      <c r="W75" s="75"/>
    </row>
    <row r="76" spans="2:25" ht="15" customHeight="1" x14ac:dyDescent="0.25">
      <c r="B76" s="42">
        <v>16</v>
      </c>
      <c r="C76" s="111" t="s">
        <v>120</v>
      </c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2"/>
      <c r="S76" s="47" t="b">
        <v>0</v>
      </c>
      <c r="T76" s="73" t="b">
        <v>0</v>
      </c>
      <c r="U76" s="73"/>
      <c r="V76" s="73" t="b">
        <v>0</v>
      </c>
      <c r="W76" s="74"/>
    </row>
    <row r="77" spans="2:25" ht="15" customHeight="1" x14ac:dyDescent="0.25">
      <c r="B77" s="41">
        <v>17</v>
      </c>
      <c r="C77" s="130" t="s">
        <v>149</v>
      </c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1"/>
      <c r="S77" s="46" t="b">
        <v>0</v>
      </c>
      <c r="T77" s="63" t="b">
        <v>0</v>
      </c>
      <c r="U77" s="63"/>
      <c r="V77" s="63" t="b">
        <v>0</v>
      </c>
      <c r="W77" s="75"/>
    </row>
    <row r="78" spans="2:25" ht="15" customHeight="1" thickBot="1" x14ac:dyDescent="0.3">
      <c r="B78" s="42">
        <v>18</v>
      </c>
      <c r="C78" s="111" t="s">
        <v>154</v>
      </c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2"/>
      <c r="S78" s="47" t="b">
        <v>0</v>
      </c>
      <c r="T78" s="73" t="b">
        <v>0</v>
      </c>
      <c r="U78" s="73"/>
      <c r="V78" s="73" t="b">
        <v>0</v>
      </c>
      <c r="W78" s="74"/>
    </row>
    <row r="79" spans="2:25" ht="15" customHeight="1" x14ac:dyDescent="0.25">
      <c r="B79" s="113" t="s">
        <v>97</v>
      </c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45" t="s">
        <v>44</v>
      </c>
      <c r="T79" s="64" t="s">
        <v>107</v>
      </c>
      <c r="U79" s="64"/>
      <c r="V79" s="64" t="s">
        <v>106</v>
      </c>
      <c r="W79" s="70"/>
    </row>
    <row r="80" spans="2:25" ht="15" customHeight="1" x14ac:dyDescent="0.25">
      <c r="B80" s="41">
        <v>1</v>
      </c>
      <c r="C80" s="130" t="s">
        <v>138</v>
      </c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1"/>
      <c r="S80" s="46" t="b">
        <v>0</v>
      </c>
      <c r="T80" s="63" t="b">
        <v>0</v>
      </c>
      <c r="U80" s="63"/>
      <c r="V80" s="63" t="b">
        <v>0</v>
      </c>
      <c r="W80" s="75"/>
    </row>
    <row r="81" spans="2:23" ht="15" customHeight="1" x14ac:dyDescent="0.25">
      <c r="B81" s="42">
        <v>2</v>
      </c>
      <c r="C81" s="111" t="s">
        <v>139</v>
      </c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2"/>
      <c r="S81" s="47" t="b">
        <v>0</v>
      </c>
      <c r="T81" s="73" t="b">
        <v>0</v>
      </c>
      <c r="U81" s="73"/>
      <c r="V81" s="73" t="b">
        <v>0</v>
      </c>
      <c r="W81" s="74"/>
    </row>
    <row r="82" spans="2:23" ht="15" customHeight="1" x14ac:dyDescent="0.25">
      <c r="B82" s="41">
        <v>3</v>
      </c>
      <c r="C82" s="130" t="s">
        <v>151</v>
      </c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1"/>
      <c r="S82" s="46" t="b">
        <v>0</v>
      </c>
      <c r="T82" s="63" t="b">
        <v>0</v>
      </c>
      <c r="U82" s="63"/>
      <c r="V82" s="63" t="b">
        <v>0</v>
      </c>
      <c r="W82" s="75"/>
    </row>
    <row r="83" spans="2:23" ht="15" customHeight="1" x14ac:dyDescent="0.25">
      <c r="B83" s="42">
        <v>4</v>
      </c>
      <c r="C83" s="111" t="s">
        <v>144</v>
      </c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2"/>
      <c r="S83" s="47" t="b">
        <v>0</v>
      </c>
      <c r="T83" s="73" t="b">
        <v>0</v>
      </c>
      <c r="U83" s="73"/>
      <c r="V83" s="73" t="b">
        <v>0</v>
      </c>
      <c r="W83" s="74"/>
    </row>
    <row r="84" spans="2:23" ht="15" customHeight="1" x14ac:dyDescent="0.25">
      <c r="B84" s="41">
        <v>5</v>
      </c>
      <c r="C84" s="130" t="s">
        <v>233</v>
      </c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1"/>
      <c r="S84" s="46" t="b">
        <v>0</v>
      </c>
      <c r="T84" s="63" t="b">
        <v>0</v>
      </c>
      <c r="U84" s="63"/>
      <c r="V84" s="63" t="b">
        <v>0</v>
      </c>
      <c r="W84" s="75"/>
    </row>
    <row r="85" spans="2:23" ht="15" customHeight="1" x14ac:dyDescent="0.25">
      <c r="B85" s="42">
        <v>6</v>
      </c>
      <c r="C85" s="111" t="s">
        <v>41</v>
      </c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2"/>
      <c r="S85" s="47" t="b">
        <v>0</v>
      </c>
      <c r="T85" s="73" t="b">
        <v>0</v>
      </c>
      <c r="U85" s="73"/>
      <c r="V85" s="73" t="b">
        <v>0</v>
      </c>
      <c r="W85" s="74"/>
    </row>
    <row r="86" spans="2:23" ht="15" customHeight="1" x14ac:dyDescent="0.25">
      <c r="B86" s="41">
        <v>7</v>
      </c>
      <c r="C86" s="130" t="s">
        <v>146</v>
      </c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1"/>
      <c r="S86" s="46" t="b">
        <v>0</v>
      </c>
      <c r="T86" s="63" t="b">
        <v>0</v>
      </c>
      <c r="U86" s="63"/>
      <c r="V86" s="63" t="b">
        <v>0</v>
      </c>
      <c r="W86" s="75"/>
    </row>
    <row r="87" spans="2:23" ht="15" customHeight="1" x14ac:dyDescent="0.25">
      <c r="B87" s="42">
        <v>8</v>
      </c>
      <c r="C87" s="111" t="s">
        <v>147</v>
      </c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2"/>
      <c r="S87" s="47" t="b">
        <v>0</v>
      </c>
      <c r="T87" s="73" t="b">
        <v>0</v>
      </c>
      <c r="U87" s="73"/>
      <c r="V87" s="73" t="b">
        <v>0</v>
      </c>
      <c r="W87" s="74"/>
    </row>
    <row r="88" spans="2:23" ht="15" customHeight="1" x14ac:dyDescent="0.25">
      <c r="B88" s="41">
        <v>9</v>
      </c>
      <c r="C88" s="130" t="s">
        <v>148</v>
      </c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1"/>
      <c r="S88" s="46" t="b">
        <v>0</v>
      </c>
      <c r="T88" s="63" t="b">
        <v>0</v>
      </c>
      <c r="U88" s="63"/>
      <c r="V88" s="63" t="b">
        <v>0</v>
      </c>
      <c r="W88" s="75"/>
    </row>
    <row r="89" spans="2:23" ht="15" customHeight="1" x14ac:dyDescent="0.25">
      <c r="B89" s="42">
        <v>10</v>
      </c>
      <c r="C89" s="111" t="s">
        <v>120</v>
      </c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2"/>
      <c r="S89" s="47" t="b">
        <v>0</v>
      </c>
      <c r="T89" s="73" t="b">
        <v>0</v>
      </c>
      <c r="U89" s="73"/>
      <c r="V89" s="73" t="b">
        <v>0</v>
      </c>
      <c r="W89" s="74"/>
    </row>
    <row r="90" spans="2:23" ht="15" customHeight="1" x14ac:dyDescent="0.25">
      <c r="B90" s="41">
        <v>11</v>
      </c>
      <c r="C90" s="130" t="s">
        <v>153</v>
      </c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1"/>
      <c r="S90" s="46" t="b">
        <v>0</v>
      </c>
      <c r="T90" s="63" t="b">
        <v>0</v>
      </c>
      <c r="U90" s="63"/>
      <c r="V90" s="63" t="b">
        <v>0</v>
      </c>
      <c r="W90" s="75"/>
    </row>
    <row r="91" spans="2:23" ht="15" customHeight="1" x14ac:dyDescent="0.25">
      <c r="B91" s="42">
        <v>12</v>
      </c>
      <c r="C91" s="111" t="s">
        <v>154</v>
      </c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2"/>
      <c r="S91" s="47" t="b">
        <v>0</v>
      </c>
      <c r="T91" s="73" t="b">
        <v>0</v>
      </c>
      <c r="U91" s="73"/>
      <c r="V91" s="73" t="b">
        <v>0</v>
      </c>
      <c r="W91" s="74"/>
    </row>
    <row r="92" spans="2:23" ht="15" customHeight="1" x14ac:dyDescent="0.25">
      <c r="B92" s="41">
        <v>13</v>
      </c>
      <c r="C92" s="130" t="s">
        <v>155</v>
      </c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1"/>
      <c r="S92" s="46" t="b">
        <v>0</v>
      </c>
      <c r="T92" s="63" t="b">
        <v>0</v>
      </c>
      <c r="U92" s="63"/>
      <c r="V92" s="63" t="b">
        <v>0</v>
      </c>
      <c r="W92" s="75"/>
    </row>
    <row r="93" spans="2:23" ht="15" customHeight="1" x14ac:dyDescent="0.25">
      <c r="B93" s="42">
        <v>14</v>
      </c>
      <c r="C93" s="111" t="s">
        <v>234</v>
      </c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2"/>
      <c r="S93" s="47" t="b">
        <v>0</v>
      </c>
      <c r="T93" s="73" t="b">
        <v>0</v>
      </c>
      <c r="U93" s="73"/>
      <c r="V93" s="73" t="b">
        <v>0</v>
      </c>
      <c r="W93" s="74"/>
    </row>
    <row r="94" spans="2:23" ht="15" customHeight="1" thickBot="1" x14ac:dyDescent="0.3">
      <c r="B94" s="41">
        <v>15</v>
      </c>
      <c r="C94" s="130" t="s">
        <v>156</v>
      </c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1"/>
      <c r="S94" s="46" t="b">
        <v>0</v>
      </c>
      <c r="T94" s="63" t="b">
        <v>0</v>
      </c>
      <c r="U94" s="63"/>
      <c r="V94" s="63" t="b">
        <v>0</v>
      </c>
      <c r="W94" s="75"/>
    </row>
    <row r="95" spans="2:23" ht="15" customHeight="1" thickBot="1" x14ac:dyDescent="0.3">
      <c r="B95" s="108" t="s">
        <v>113</v>
      </c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10"/>
    </row>
    <row r="96" spans="2:23" ht="15" customHeight="1" thickBot="1" x14ac:dyDescent="0.3">
      <c r="B96" s="76" t="s">
        <v>43</v>
      </c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8"/>
    </row>
    <row r="97" spans="2:23" ht="15" customHeight="1" x14ac:dyDescent="0.25">
      <c r="B97" s="113" t="s">
        <v>93</v>
      </c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45" t="s">
        <v>44</v>
      </c>
      <c r="T97" s="64" t="s">
        <v>107</v>
      </c>
      <c r="U97" s="64"/>
      <c r="V97" s="64" t="s">
        <v>106</v>
      </c>
      <c r="W97" s="70"/>
    </row>
    <row r="98" spans="2:23" ht="15" customHeight="1" x14ac:dyDescent="0.25">
      <c r="B98" s="41" t="s">
        <v>238</v>
      </c>
      <c r="C98" s="130" t="s">
        <v>114</v>
      </c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1"/>
      <c r="S98" s="46" t="b">
        <v>0</v>
      </c>
      <c r="T98" s="63" t="b">
        <v>0</v>
      </c>
      <c r="U98" s="63"/>
      <c r="V98" s="63" t="b">
        <v>0</v>
      </c>
      <c r="W98" s="75"/>
    </row>
    <row r="99" spans="2:23" ht="15" customHeight="1" x14ac:dyDescent="0.25">
      <c r="B99" s="42" t="s">
        <v>238</v>
      </c>
      <c r="C99" s="111" t="s">
        <v>157</v>
      </c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2"/>
      <c r="S99" s="47" t="b">
        <v>0</v>
      </c>
      <c r="T99" s="73" t="b">
        <v>0</v>
      </c>
      <c r="U99" s="73"/>
      <c r="V99" s="73" t="b">
        <v>0</v>
      </c>
      <c r="W99" s="74"/>
    </row>
    <row r="100" spans="2:23" ht="15" customHeight="1" thickBot="1" x14ac:dyDescent="0.3">
      <c r="B100" s="44" t="s">
        <v>238</v>
      </c>
      <c r="C100" s="130" t="s">
        <v>158</v>
      </c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1"/>
      <c r="S100" s="48" t="b">
        <v>0</v>
      </c>
      <c r="T100" s="124" t="b">
        <v>0</v>
      </c>
      <c r="U100" s="124"/>
      <c r="V100" s="124" t="b">
        <v>0</v>
      </c>
      <c r="W100" s="125"/>
    </row>
    <row r="101" spans="2:23" ht="15" customHeight="1" x14ac:dyDescent="0.25">
      <c r="B101" s="113" t="s">
        <v>90</v>
      </c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45" t="s">
        <v>44</v>
      </c>
      <c r="T101" s="64" t="s">
        <v>107</v>
      </c>
      <c r="U101" s="64"/>
      <c r="V101" s="64" t="s">
        <v>106</v>
      </c>
      <c r="W101" s="70"/>
    </row>
    <row r="102" spans="2:23" ht="15" customHeight="1" thickBot="1" x14ac:dyDescent="0.3">
      <c r="B102" s="44" t="s">
        <v>239</v>
      </c>
      <c r="C102" s="130" t="s">
        <v>122</v>
      </c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1"/>
      <c r="S102" s="48" t="b">
        <v>0</v>
      </c>
      <c r="T102" s="124" t="b">
        <v>0</v>
      </c>
      <c r="U102" s="124"/>
      <c r="V102" s="124" t="b">
        <v>0</v>
      </c>
      <c r="W102" s="125"/>
    </row>
    <row r="103" spans="2:23" ht="15" customHeight="1" x14ac:dyDescent="0.25">
      <c r="B103" s="113" t="s">
        <v>98</v>
      </c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45" t="s">
        <v>44</v>
      </c>
      <c r="T103" s="64" t="s">
        <v>107</v>
      </c>
      <c r="U103" s="64"/>
      <c r="V103" s="64" t="s">
        <v>106</v>
      </c>
      <c r="W103" s="70"/>
    </row>
    <row r="104" spans="2:23" ht="15" customHeight="1" x14ac:dyDescent="0.25">
      <c r="B104" s="41" t="s">
        <v>238</v>
      </c>
      <c r="C104" s="130" t="s">
        <v>123</v>
      </c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1"/>
      <c r="S104" s="46" t="b">
        <v>0</v>
      </c>
      <c r="T104" s="63" t="b">
        <v>0</v>
      </c>
      <c r="U104" s="63"/>
      <c r="V104" s="63" t="b">
        <v>0</v>
      </c>
      <c r="W104" s="75"/>
    </row>
    <row r="105" spans="2:23" ht="15" customHeight="1" x14ac:dyDescent="0.25">
      <c r="B105" s="42" t="s">
        <v>240</v>
      </c>
      <c r="C105" s="111" t="s">
        <v>159</v>
      </c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2"/>
      <c r="S105" s="47" t="b">
        <v>0</v>
      </c>
      <c r="T105" s="73" t="b">
        <v>0</v>
      </c>
      <c r="U105" s="73"/>
      <c r="V105" s="73" t="b">
        <v>0</v>
      </c>
      <c r="W105" s="74"/>
    </row>
    <row r="106" spans="2:23" ht="15" customHeight="1" x14ac:dyDescent="0.25">
      <c r="B106" s="41" t="s">
        <v>241</v>
      </c>
      <c r="C106" s="130" t="s">
        <v>125</v>
      </c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1"/>
      <c r="S106" s="46" t="b">
        <v>0</v>
      </c>
      <c r="T106" s="63" t="b">
        <v>0</v>
      </c>
      <c r="U106" s="63"/>
      <c r="V106" s="63" t="b">
        <v>0</v>
      </c>
      <c r="W106" s="75"/>
    </row>
    <row r="107" spans="2:23" ht="15" customHeight="1" thickBot="1" x14ac:dyDescent="0.3">
      <c r="B107" s="43" t="s">
        <v>238</v>
      </c>
      <c r="C107" s="111" t="s">
        <v>126</v>
      </c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2"/>
      <c r="S107" s="49" t="b">
        <v>0</v>
      </c>
      <c r="T107" s="61" t="b">
        <v>0</v>
      </c>
      <c r="U107" s="61"/>
      <c r="V107" s="61" t="b">
        <v>0</v>
      </c>
      <c r="W107" s="62"/>
    </row>
    <row r="108" spans="2:23" ht="15" customHeight="1" x14ac:dyDescent="0.25">
      <c r="B108" s="113" t="s">
        <v>92</v>
      </c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45" t="s">
        <v>44</v>
      </c>
      <c r="T108" s="64" t="s">
        <v>107</v>
      </c>
      <c r="U108" s="64"/>
      <c r="V108" s="64" t="s">
        <v>106</v>
      </c>
      <c r="W108" s="70"/>
    </row>
    <row r="109" spans="2:23" ht="15" customHeight="1" x14ac:dyDescent="0.25">
      <c r="B109" s="41" t="s">
        <v>242</v>
      </c>
      <c r="C109" s="130" t="s">
        <v>160</v>
      </c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1"/>
      <c r="S109" s="46" t="b">
        <v>0</v>
      </c>
      <c r="T109" s="63" t="b">
        <v>0</v>
      </c>
      <c r="U109" s="63"/>
      <c r="V109" s="63" t="b">
        <v>0</v>
      </c>
      <c r="W109" s="75"/>
    </row>
    <row r="110" spans="2:23" ht="15" customHeight="1" thickBot="1" x14ac:dyDescent="0.3">
      <c r="B110" s="43" t="s">
        <v>243</v>
      </c>
      <c r="C110" s="111" t="s">
        <v>174</v>
      </c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2"/>
      <c r="S110" s="49" t="b">
        <v>0</v>
      </c>
      <c r="T110" s="61" t="b">
        <v>0</v>
      </c>
      <c r="U110" s="61"/>
      <c r="V110" s="61" t="b">
        <v>0</v>
      </c>
      <c r="W110" s="62"/>
    </row>
    <row r="111" spans="2:23" ht="15" customHeight="1" x14ac:dyDescent="0.25">
      <c r="B111" s="113" t="s">
        <v>94</v>
      </c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45" t="s">
        <v>44</v>
      </c>
      <c r="T111" s="64" t="s">
        <v>107</v>
      </c>
      <c r="U111" s="64"/>
      <c r="V111" s="64" t="s">
        <v>106</v>
      </c>
      <c r="W111" s="70"/>
    </row>
    <row r="112" spans="2:23" ht="15" customHeight="1" x14ac:dyDescent="0.25">
      <c r="B112" s="41" t="s">
        <v>238</v>
      </c>
      <c r="C112" s="130" t="s">
        <v>161</v>
      </c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1"/>
      <c r="S112" s="46" t="b">
        <v>0</v>
      </c>
      <c r="T112" s="63" t="b">
        <v>0</v>
      </c>
      <c r="U112" s="63"/>
      <c r="V112" s="63" t="b">
        <v>0</v>
      </c>
      <c r="W112" s="75"/>
    </row>
    <row r="113" spans="2:23" ht="15" customHeight="1" x14ac:dyDescent="0.25">
      <c r="B113" s="42" t="s">
        <v>244</v>
      </c>
      <c r="C113" s="111" t="s">
        <v>162</v>
      </c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2"/>
      <c r="S113" s="47" t="b">
        <v>0</v>
      </c>
      <c r="T113" s="73" t="b">
        <v>0</v>
      </c>
      <c r="U113" s="73"/>
      <c r="V113" s="73" t="b">
        <v>0</v>
      </c>
      <c r="W113" s="74"/>
    </row>
    <row r="114" spans="2:23" ht="15" customHeight="1" x14ac:dyDescent="0.25">
      <c r="B114" s="41"/>
      <c r="C114" s="54" t="s">
        <v>99</v>
      </c>
      <c r="D114" s="132" t="s">
        <v>131</v>
      </c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3"/>
      <c r="S114" s="46" t="b">
        <v>0</v>
      </c>
      <c r="T114" s="63" t="b">
        <v>0</v>
      </c>
      <c r="U114" s="63"/>
      <c r="V114" s="63" t="b">
        <v>0</v>
      </c>
      <c r="W114" s="75"/>
    </row>
    <row r="115" spans="2:23" ht="15" customHeight="1" x14ac:dyDescent="0.25">
      <c r="B115" s="42"/>
      <c r="C115" s="53" t="s">
        <v>100</v>
      </c>
      <c r="D115" s="134" t="s">
        <v>132</v>
      </c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5"/>
      <c r="S115" s="47" t="b">
        <v>0</v>
      </c>
      <c r="T115" s="73" t="b">
        <v>0</v>
      </c>
      <c r="U115" s="73"/>
      <c r="V115" s="73" t="b">
        <v>0</v>
      </c>
      <c r="W115" s="74"/>
    </row>
    <row r="116" spans="2:23" ht="15" customHeight="1" x14ac:dyDescent="0.25">
      <c r="B116" s="41" t="s">
        <v>236</v>
      </c>
      <c r="C116" s="130" t="s">
        <v>163</v>
      </c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1"/>
      <c r="S116" s="46" t="b">
        <v>0</v>
      </c>
      <c r="T116" s="63" t="b">
        <v>0</v>
      </c>
      <c r="U116" s="63"/>
      <c r="V116" s="63" t="b">
        <v>0</v>
      </c>
      <c r="W116" s="75"/>
    </row>
    <row r="117" spans="2:23" ht="15" customHeight="1" x14ac:dyDescent="0.25">
      <c r="B117" s="42" t="s">
        <v>243</v>
      </c>
      <c r="C117" s="111" t="s">
        <v>164</v>
      </c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2"/>
      <c r="S117" s="47" t="b">
        <v>0</v>
      </c>
      <c r="T117" s="73" t="b">
        <v>0</v>
      </c>
      <c r="U117" s="73"/>
      <c r="V117" s="73" t="b">
        <v>0</v>
      </c>
      <c r="W117" s="74"/>
    </row>
    <row r="118" spans="2:23" ht="15" customHeight="1" x14ac:dyDescent="0.25">
      <c r="B118" s="41" t="s">
        <v>243</v>
      </c>
      <c r="C118" s="130" t="s">
        <v>165</v>
      </c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1"/>
      <c r="S118" s="46" t="b">
        <v>0</v>
      </c>
      <c r="T118" s="63" t="b">
        <v>0</v>
      </c>
      <c r="U118" s="63"/>
      <c r="V118" s="63" t="b">
        <v>0</v>
      </c>
      <c r="W118" s="75"/>
    </row>
    <row r="119" spans="2:23" ht="15" customHeight="1" thickBot="1" x14ac:dyDescent="0.3">
      <c r="B119" s="42" t="s">
        <v>238</v>
      </c>
      <c r="C119" s="111" t="s">
        <v>133</v>
      </c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2"/>
      <c r="S119" s="47" t="b">
        <v>0</v>
      </c>
      <c r="T119" s="73" t="b">
        <v>0</v>
      </c>
      <c r="U119" s="73"/>
      <c r="V119" s="73" t="b">
        <v>0</v>
      </c>
      <c r="W119" s="74"/>
    </row>
    <row r="120" spans="2:23" ht="15" customHeight="1" thickBot="1" x14ac:dyDescent="0.3">
      <c r="B120" s="76" t="s">
        <v>42</v>
      </c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8"/>
    </row>
    <row r="121" spans="2:23" ht="15" customHeight="1" x14ac:dyDescent="0.25">
      <c r="B121" s="113" t="s">
        <v>96</v>
      </c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45" t="s">
        <v>44</v>
      </c>
      <c r="T121" s="64" t="s">
        <v>107</v>
      </c>
      <c r="U121" s="64"/>
      <c r="V121" s="64" t="s">
        <v>106</v>
      </c>
      <c r="W121" s="70"/>
    </row>
    <row r="122" spans="2:23" ht="15" customHeight="1" x14ac:dyDescent="0.25">
      <c r="B122" s="41" t="s">
        <v>238</v>
      </c>
      <c r="C122" s="130" t="s">
        <v>138</v>
      </c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1"/>
      <c r="S122" s="46" t="b">
        <v>0</v>
      </c>
      <c r="T122" s="63" t="b">
        <v>0</v>
      </c>
      <c r="U122" s="63"/>
      <c r="V122" s="63" t="b">
        <v>0</v>
      </c>
      <c r="W122" s="75"/>
    </row>
    <row r="123" spans="2:23" ht="15" customHeight="1" x14ac:dyDescent="0.25">
      <c r="B123" s="42" t="s">
        <v>238</v>
      </c>
      <c r="C123" s="111" t="s">
        <v>139</v>
      </c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2"/>
      <c r="S123" s="47" t="b">
        <v>0</v>
      </c>
      <c r="T123" s="73" t="b">
        <v>0</v>
      </c>
      <c r="U123" s="73"/>
      <c r="V123" s="73" t="b">
        <v>0</v>
      </c>
      <c r="W123" s="74"/>
    </row>
    <row r="124" spans="2:23" ht="15" customHeight="1" x14ac:dyDescent="0.25">
      <c r="B124" s="41" t="s">
        <v>238</v>
      </c>
      <c r="C124" s="130" t="s">
        <v>151</v>
      </c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1"/>
      <c r="S124" s="46" t="b">
        <v>0</v>
      </c>
      <c r="T124" s="63" t="b">
        <v>0</v>
      </c>
      <c r="U124" s="63"/>
      <c r="V124" s="63" t="b">
        <v>0</v>
      </c>
      <c r="W124" s="75"/>
    </row>
    <row r="125" spans="2:23" ht="15" customHeight="1" x14ac:dyDescent="0.25">
      <c r="B125" s="42" t="s">
        <v>246</v>
      </c>
      <c r="C125" s="111" t="s">
        <v>142</v>
      </c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2"/>
      <c r="S125" s="47" t="b">
        <v>0</v>
      </c>
      <c r="T125" s="73" t="b">
        <v>0</v>
      </c>
      <c r="U125" s="73"/>
      <c r="V125" s="73" t="b">
        <v>0</v>
      </c>
      <c r="W125" s="74"/>
    </row>
    <row r="126" spans="2:23" ht="15" customHeight="1" x14ac:dyDescent="0.25">
      <c r="B126" s="41" t="s">
        <v>236</v>
      </c>
      <c r="C126" s="130" t="s">
        <v>166</v>
      </c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1"/>
      <c r="S126" s="46" t="b">
        <v>0</v>
      </c>
      <c r="T126" s="63" t="b">
        <v>0</v>
      </c>
      <c r="U126" s="63"/>
      <c r="V126" s="63" t="b">
        <v>0</v>
      </c>
      <c r="W126" s="75"/>
    </row>
    <row r="127" spans="2:23" ht="15" customHeight="1" x14ac:dyDescent="0.25">
      <c r="B127" s="42" t="s">
        <v>247</v>
      </c>
      <c r="C127" s="111" t="s">
        <v>145</v>
      </c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2"/>
      <c r="S127" s="47" t="b">
        <v>0</v>
      </c>
      <c r="T127" s="73" t="b">
        <v>0</v>
      </c>
      <c r="U127" s="73"/>
      <c r="V127" s="73" t="b">
        <v>0</v>
      </c>
      <c r="W127" s="74"/>
    </row>
    <row r="128" spans="2:23" ht="15" customHeight="1" x14ac:dyDescent="0.25">
      <c r="B128" s="41" t="s">
        <v>238</v>
      </c>
      <c r="C128" s="130" t="s">
        <v>167</v>
      </c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1"/>
      <c r="S128" s="46" t="b">
        <v>0</v>
      </c>
      <c r="T128" s="63" t="b">
        <v>0</v>
      </c>
      <c r="U128" s="63"/>
      <c r="V128" s="63" t="b">
        <v>0</v>
      </c>
      <c r="W128" s="75"/>
    </row>
    <row r="129" spans="2:23" ht="15" customHeight="1" x14ac:dyDescent="0.25">
      <c r="B129" s="42" t="s">
        <v>238</v>
      </c>
      <c r="C129" s="111" t="s">
        <v>41</v>
      </c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2"/>
      <c r="S129" s="47" t="b">
        <v>0</v>
      </c>
      <c r="T129" s="73" t="b">
        <v>0</v>
      </c>
      <c r="U129" s="73"/>
      <c r="V129" s="73" t="b">
        <v>0</v>
      </c>
      <c r="W129" s="74"/>
    </row>
    <row r="130" spans="2:23" ht="15" customHeight="1" x14ac:dyDescent="0.25">
      <c r="B130" s="41" t="s">
        <v>238</v>
      </c>
      <c r="C130" s="130" t="s">
        <v>154</v>
      </c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1"/>
      <c r="S130" s="46" t="b">
        <v>0</v>
      </c>
      <c r="T130" s="63" t="b">
        <v>0</v>
      </c>
      <c r="U130" s="63"/>
      <c r="V130" s="63" t="b">
        <v>0</v>
      </c>
      <c r="W130" s="75"/>
    </row>
    <row r="131" spans="2:23" ht="15" customHeight="1" thickBot="1" x14ac:dyDescent="0.3">
      <c r="B131" s="43" t="s">
        <v>238</v>
      </c>
      <c r="C131" s="111" t="s">
        <v>169</v>
      </c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2"/>
      <c r="S131" s="49" t="b">
        <v>0</v>
      </c>
      <c r="T131" s="61" t="b">
        <v>0</v>
      </c>
      <c r="U131" s="61"/>
      <c r="V131" s="61" t="b">
        <v>0</v>
      </c>
      <c r="W131" s="62"/>
    </row>
    <row r="132" spans="2:23" ht="15" customHeight="1" x14ac:dyDescent="0.25">
      <c r="B132" s="113" t="s">
        <v>97</v>
      </c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45" t="s">
        <v>44</v>
      </c>
      <c r="T132" s="64" t="s">
        <v>107</v>
      </c>
      <c r="U132" s="64"/>
      <c r="V132" s="64" t="s">
        <v>106</v>
      </c>
      <c r="W132" s="70"/>
    </row>
    <row r="133" spans="2:23" ht="15" customHeight="1" x14ac:dyDescent="0.25">
      <c r="B133" s="41" t="s">
        <v>236</v>
      </c>
      <c r="C133" s="130" t="s">
        <v>138</v>
      </c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1"/>
      <c r="S133" s="46" t="b">
        <v>0</v>
      </c>
      <c r="T133" s="63" t="b">
        <v>0</v>
      </c>
      <c r="U133" s="63"/>
      <c r="V133" s="63" t="b">
        <v>0</v>
      </c>
      <c r="W133" s="75"/>
    </row>
    <row r="134" spans="2:23" ht="15" customHeight="1" x14ac:dyDescent="0.25">
      <c r="B134" s="42" t="s">
        <v>236</v>
      </c>
      <c r="C134" s="111" t="s">
        <v>139</v>
      </c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2"/>
      <c r="S134" s="47" t="b">
        <v>0</v>
      </c>
      <c r="T134" s="73" t="b">
        <v>0</v>
      </c>
      <c r="U134" s="73"/>
      <c r="V134" s="73" t="b">
        <v>0</v>
      </c>
      <c r="W134" s="74"/>
    </row>
    <row r="135" spans="2:23" ht="15" customHeight="1" x14ac:dyDescent="0.25">
      <c r="B135" s="41" t="s">
        <v>236</v>
      </c>
      <c r="C135" s="130" t="s">
        <v>151</v>
      </c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1"/>
      <c r="S135" s="46" t="b">
        <v>0</v>
      </c>
      <c r="T135" s="63" t="b">
        <v>0</v>
      </c>
      <c r="U135" s="63"/>
      <c r="V135" s="63" t="b">
        <v>0</v>
      </c>
      <c r="W135" s="75"/>
    </row>
    <row r="136" spans="2:23" ht="15" customHeight="1" x14ac:dyDescent="0.25">
      <c r="B136" s="42" t="s">
        <v>236</v>
      </c>
      <c r="C136" s="111" t="s">
        <v>233</v>
      </c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2"/>
      <c r="S136" s="47" t="b">
        <v>0</v>
      </c>
      <c r="T136" s="73" t="b">
        <v>0</v>
      </c>
      <c r="U136" s="73"/>
      <c r="V136" s="73" t="b">
        <v>0</v>
      </c>
      <c r="W136" s="74"/>
    </row>
    <row r="137" spans="2:23" ht="15" customHeight="1" x14ac:dyDescent="0.25">
      <c r="B137" s="41" t="s">
        <v>236</v>
      </c>
      <c r="C137" s="130" t="s">
        <v>41</v>
      </c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1"/>
      <c r="S137" s="46" t="b">
        <v>0</v>
      </c>
      <c r="T137" s="63" t="b">
        <v>0</v>
      </c>
      <c r="U137" s="63"/>
      <c r="V137" s="63" t="b">
        <v>0</v>
      </c>
      <c r="W137" s="75"/>
    </row>
    <row r="138" spans="2:23" ht="15" customHeight="1" x14ac:dyDescent="0.25">
      <c r="B138" s="42" t="s">
        <v>236</v>
      </c>
      <c r="C138" s="111" t="s">
        <v>154</v>
      </c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2"/>
      <c r="S138" s="47" t="b">
        <v>0</v>
      </c>
      <c r="T138" s="73" t="b">
        <v>0</v>
      </c>
      <c r="U138" s="73"/>
      <c r="V138" s="73" t="b">
        <v>0</v>
      </c>
      <c r="W138" s="74"/>
    </row>
    <row r="139" spans="2:23" ht="15" customHeight="1" x14ac:dyDescent="0.25">
      <c r="B139" s="41" t="s">
        <v>236</v>
      </c>
      <c r="C139" s="130" t="s">
        <v>169</v>
      </c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1"/>
      <c r="S139" s="46" t="b">
        <v>0</v>
      </c>
      <c r="T139" s="63" t="b">
        <v>0</v>
      </c>
      <c r="U139" s="63"/>
      <c r="V139" s="63" t="b">
        <v>0</v>
      </c>
      <c r="W139" s="75"/>
    </row>
    <row r="140" spans="2:23" ht="15" customHeight="1" x14ac:dyDescent="0.25">
      <c r="B140" s="42" t="s">
        <v>237</v>
      </c>
      <c r="C140" s="111" t="s">
        <v>153</v>
      </c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2"/>
      <c r="S140" s="47" t="b">
        <v>0</v>
      </c>
      <c r="T140" s="73" t="b">
        <v>0</v>
      </c>
      <c r="U140" s="73"/>
      <c r="V140" s="73" t="b">
        <v>0</v>
      </c>
      <c r="W140" s="74"/>
    </row>
    <row r="141" spans="2:23" ht="15" customHeight="1" thickBot="1" x14ac:dyDescent="0.3">
      <c r="B141" s="41" t="s">
        <v>248</v>
      </c>
      <c r="C141" s="141" t="s">
        <v>235</v>
      </c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1"/>
      <c r="S141" s="46" t="b">
        <v>0</v>
      </c>
      <c r="T141" s="63" t="b">
        <v>0</v>
      </c>
      <c r="U141" s="63"/>
      <c r="V141" s="63" t="b">
        <v>0</v>
      </c>
      <c r="W141" s="75"/>
    </row>
    <row r="142" spans="2:23" ht="15" customHeight="1" x14ac:dyDescent="0.25">
      <c r="B142" s="113" t="s">
        <v>101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45" t="s">
        <v>44</v>
      </c>
      <c r="T142" s="64" t="s">
        <v>107</v>
      </c>
      <c r="U142" s="64"/>
      <c r="V142" s="64" t="s">
        <v>106</v>
      </c>
      <c r="W142" s="70"/>
    </row>
    <row r="143" spans="2:23" ht="15" customHeight="1" x14ac:dyDescent="0.25">
      <c r="B143" s="41" t="s">
        <v>238</v>
      </c>
      <c r="C143" s="130" t="s">
        <v>170</v>
      </c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1"/>
      <c r="S143" s="46" t="b">
        <v>0</v>
      </c>
      <c r="T143" s="63" t="b">
        <v>0</v>
      </c>
      <c r="U143" s="63"/>
      <c r="V143" s="63" t="b">
        <v>0</v>
      </c>
      <c r="W143" s="75"/>
    </row>
    <row r="144" spans="2:23" ht="15" customHeight="1" x14ac:dyDescent="0.25">
      <c r="B144" s="42" t="s">
        <v>238</v>
      </c>
      <c r="C144" s="111" t="s">
        <v>155</v>
      </c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2"/>
      <c r="S144" s="47" t="b">
        <v>0</v>
      </c>
      <c r="T144" s="73" t="b">
        <v>0</v>
      </c>
      <c r="U144" s="73"/>
      <c r="V144" s="73" t="b">
        <v>0</v>
      </c>
      <c r="W144" s="74"/>
    </row>
    <row r="145" spans="2:23" ht="15" customHeight="1" x14ac:dyDescent="0.25">
      <c r="B145" s="41" t="s">
        <v>238</v>
      </c>
      <c r="C145" s="130" t="s">
        <v>171</v>
      </c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1"/>
      <c r="S145" s="46" t="b">
        <v>0</v>
      </c>
      <c r="T145" s="63" t="b">
        <v>0</v>
      </c>
      <c r="U145" s="63"/>
      <c r="V145" s="63" t="b">
        <v>0</v>
      </c>
      <c r="W145" s="75"/>
    </row>
    <row r="146" spans="2:23" ht="15" customHeight="1" thickBot="1" x14ac:dyDescent="0.3">
      <c r="B146" s="42" t="s">
        <v>238</v>
      </c>
      <c r="C146" s="111" t="s">
        <v>172</v>
      </c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2"/>
      <c r="S146" s="47" t="b">
        <v>0</v>
      </c>
      <c r="T146" s="73" t="b">
        <v>0</v>
      </c>
      <c r="U146" s="73"/>
      <c r="V146" s="73" t="b">
        <v>0</v>
      </c>
      <c r="W146" s="74"/>
    </row>
    <row r="147" spans="2:23" ht="15" customHeight="1" thickBot="1" x14ac:dyDescent="0.3">
      <c r="B147" s="76" t="s">
        <v>40</v>
      </c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8"/>
    </row>
    <row r="148" spans="2:23" ht="15" customHeight="1" x14ac:dyDescent="0.25">
      <c r="B148" s="113" t="s">
        <v>102</v>
      </c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45" t="s">
        <v>44</v>
      </c>
      <c r="T148" s="64" t="s">
        <v>107</v>
      </c>
      <c r="U148" s="64"/>
      <c r="V148" s="64" t="s">
        <v>106</v>
      </c>
      <c r="W148" s="70"/>
    </row>
    <row r="149" spans="2:23" ht="15" customHeight="1" x14ac:dyDescent="0.25">
      <c r="B149" s="41" t="s">
        <v>238</v>
      </c>
      <c r="C149" s="130" t="s">
        <v>135</v>
      </c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1"/>
      <c r="S149" s="46" t="b">
        <v>0</v>
      </c>
      <c r="T149" s="63" t="b">
        <v>0</v>
      </c>
      <c r="U149" s="63"/>
      <c r="V149" s="63" t="b">
        <v>0</v>
      </c>
      <c r="W149" s="75"/>
    </row>
    <row r="150" spans="2:23" ht="15" customHeight="1" x14ac:dyDescent="0.25">
      <c r="B150" s="42" t="s">
        <v>238</v>
      </c>
      <c r="C150" s="111" t="s">
        <v>39</v>
      </c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2"/>
      <c r="S150" s="47" t="b">
        <v>0</v>
      </c>
      <c r="T150" s="73" t="b">
        <v>0</v>
      </c>
      <c r="U150" s="73"/>
      <c r="V150" s="73" t="b">
        <v>0</v>
      </c>
      <c r="W150" s="74"/>
    </row>
    <row r="151" spans="2:23" ht="15" customHeight="1" x14ac:dyDescent="0.25">
      <c r="B151" s="41" t="s">
        <v>238</v>
      </c>
      <c r="C151" s="130" t="s">
        <v>137</v>
      </c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1"/>
      <c r="S151" s="46" t="b">
        <v>0</v>
      </c>
      <c r="T151" s="63" t="b">
        <v>0</v>
      </c>
      <c r="U151" s="63"/>
      <c r="V151" s="63" t="b">
        <v>0</v>
      </c>
      <c r="W151" s="75"/>
    </row>
    <row r="152" spans="2:23" ht="15" customHeight="1" x14ac:dyDescent="0.25">
      <c r="B152" s="42" t="s">
        <v>238</v>
      </c>
      <c r="C152" s="111" t="s">
        <v>38</v>
      </c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2"/>
      <c r="S152" s="47" t="b">
        <v>0</v>
      </c>
      <c r="T152" s="73" t="b">
        <v>0</v>
      </c>
      <c r="U152" s="73"/>
      <c r="V152" s="73" t="b">
        <v>0</v>
      </c>
      <c r="W152" s="74"/>
    </row>
    <row r="153" spans="2:23" ht="15" customHeight="1" thickBot="1" x14ac:dyDescent="0.3">
      <c r="B153" s="44" t="s">
        <v>238</v>
      </c>
      <c r="C153" s="130" t="s">
        <v>173</v>
      </c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1"/>
      <c r="S153" s="48" t="b">
        <v>0</v>
      </c>
      <c r="T153" s="124" t="b">
        <v>0</v>
      </c>
      <c r="U153" s="124"/>
      <c r="V153" s="124" t="b">
        <v>0</v>
      </c>
      <c r="W153" s="125"/>
    </row>
    <row r="154" spans="2:23" ht="15" customHeight="1" x14ac:dyDescent="0.25">
      <c r="B154" s="113" t="s">
        <v>103</v>
      </c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45" t="s">
        <v>44</v>
      </c>
      <c r="T154" s="64" t="s">
        <v>107</v>
      </c>
      <c r="U154" s="64"/>
      <c r="V154" s="64" t="s">
        <v>106</v>
      </c>
      <c r="W154" s="70"/>
    </row>
    <row r="155" spans="2:23" ht="15" customHeight="1" x14ac:dyDescent="0.25">
      <c r="B155" s="41" t="s">
        <v>238</v>
      </c>
      <c r="C155" s="130" t="s">
        <v>176</v>
      </c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1"/>
      <c r="S155" s="46" t="b">
        <v>0</v>
      </c>
      <c r="T155" s="63" t="b">
        <v>0</v>
      </c>
      <c r="U155" s="63"/>
      <c r="V155" s="63" t="b">
        <v>0</v>
      </c>
      <c r="W155" s="75"/>
    </row>
    <row r="156" spans="2:23" ht="15" customHeight="1" x14ac:dyDescent="0.25">
      <c r="B156" s="42" t="s">
        <v>238</v>
      </c>
      <c r="C156" s="111" t="s">
        <v>148</v>
      </c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2"/>
      <c r="S156" s="47" t="b">
        <v>0</v>
      </c>
      <c r="T156" s="73" t="b">
        <v>0</v>
      </c>
      <c r="U156" s="73"/>
      <c r="V156" s="73" t="b">
        <v>0</v>
      </c>
      <c r="W156" s="74"/>
    </row>
    <row r="157" spans="2:23" ht="15" customHeight="1" thickBot="1" x14ac:dyDescent="0.3">
      <c r="B157" s="41" t="s">
        <v>238</v>
      </c>
      <c r="C157" s="130" t="s">
        <v>175</v>
      </c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1"/>
      <c r="S157" s="46" t="b">
        <v>0</v>
      </c>
      <c r="T157" s="63" t="b">
        <v>0</v>
      </c>
      <c r="U157" s="63"/>
      <c r="V157" s="63" t="b">
        <v>0</v>
      </c>
      <c r="W157" s="75"/>
    </row>
    <row r="158" spans="2:23" ht="15" customHeight="1" x14ac:dyDescent="0.25">
      <c r="B158" s="113" t="s">
        <v>104</v>
      </c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45" t="s">
        <v>44</v>
      </c>
      <c r="T158" s="64" t="s">
        <v>107</v>
      </c>
      <c r="U158" s="64"/>
      <c r="V158" s="64" t="s">
        <v>106</v>
      </c>
      <c r="W158" s="70"/>
    </row>
    <row r="159" spans="2:23" ht="15" customHeight="1" x14ac:dyDescent="0.25">
      <c r="B159" s="41" t="s">
        <v>238</v>
      </c>
      <c r="C159" s="130" t="s">
        <v>176</v>
      </c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1"/>
      <c r="S159" s="46" t="b">
        <v>0</v>
      </c>
      <c r="T159" s="63" t="b">
        <v>0</v>
      </c>
      <c r="U159" s="63"/>
      <c r="V159" s="63" t="b">
        <v>0</v>
      </c>
      <c r="W159" s="75"/>
    </row>
    <row r="160" spans="2:23" ht="15" customHeight="1" x14ac:dyDescent="0.25">
      <c r="B160" s="42" t="s">
        <v>238</v>
      </c>
      <c r="C160" s="111" t="s">
        <v>177</v>
      </c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2"/>
      <c r="S160" s="47" t="b">
        <v>0</v>
      </c>
      <c r="T160" s="73" t="b">
        <v>0</v>
      </c>
      <c r="U160" s="73"/>
      <c r="V160" s="73" t="b">
        <v>0</v>
      </c>
      <c r="W160" s="74"/>
    </row>
    <row r="161" spans="2:23" ht="15" customHeight="1" x14ac:dyDescent="0.25">
      <c r="B161" s="41" t="s">
        <v>238</v>
      </c>
      <c r="C161" s="130" t="s">
        <v>178</v>
      </c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1"/>
      <c r="S161" s="46" t="b">
        <v>0</v>
      </c>
      <c r="T161" s="63" t="b">
        <v>0</v>
      </c>
      <c r="U161" s="63"/>
      <c r="V161" s="63" t="b">
        <v>0</v>
      </c>
      <c r="W161" s="75"/>
    </row>
    <row r="162" spans="2:23" ht="15" customHeight="1" thickBot="1" x14ac:dyDescent="0.3">
      <c r="B162" s="43" t="s">
        <v>238</v>
      </c>
      <c r="C162" s="142" t="s">
        <v>179</v>
      </c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3"/>
      <c r="S162" s="49" t="b">
        <v>0</v>
      </c>
      <c r="T162" s="61" t="b">
        <v>0</v>
      </c>
      <c r="U162" s="61"/>
      <c r="V162" s="61" t="b">
        <v>0</v>
      </c>
      <c r="W162" s="62"/>
    </row>
    <row r="163" spans="2:23" ht="15" customHeight="1" thickBot="1" x14ac:dyDescent="0.3">
      <c r="B163" s="136" t="s">
        <v>79</v>
      </c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8"/>
      <c r="S163" s="50" t="s">
        <v>44</v>
      </c>
      <c r="T163" s="71" t="s">
        <v>107</v>
      </c>
      <c r="U163" s="71"/>
      <c r="V163" s="71" t="s">
        <v>106</v>
      </c>
      <c r="W163" s="72"/>
    </row>
    <row r="164" spans="2:23" ht="15" customHeight="1" x14ac:dyDescent="0.25">
      <c r="B164" s="41" t="s">
        <v>238</v>
      </c>
      <c r="C164" s="130" t="s">
        <v>182</v>
      </c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1"/>
      <c r="S164" s="46" t="b">
        <v>0</v>
      </c>
      <c r="T164" s="63" t="b">
        <v>0</v>
      </c>
      <c r="U164" s="63"/>
      <c r="V164" s="63" t="b">
        <v>0</v>
      </c>
      <c r="W164" s="75"/>
    </row>
    <row r="165" spans="2:23" ht="15" customHeight="1" x14ac:dyDescent="0.25">
      <c r="B165" s="42" t="s">
        <v>238</v>
      </c>
      <c r="C165" s="111" t="s">
        <v>183</v>
      </c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2"/>
      <c r="S165" s="47" t="b">
        <v>0</v>
      </c>
      <c r="T165" s="73" t="b">
        <v>0</v>
      </c>
      <c r="U165" s="73"/>
      <c r="V165" s="73" t="b">
        <v>0</v>
      </c>
      <c r="W165" s="74"/>
    </row>
    <row r="166" spans="2:23" ht="15" customHeight="1" thickBot="1" x14ac:dyDescent="0.3">
      <c r="B166" s="44" t="s">
        <v>238</v>
      </c>
      <c r="C166" s="139" t="s">
        <v>184</v>
      </c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40"/>
      <c r="S166" s="48" t="b">
        <v>0</v>
      </c>
      <c r="T166" s="124" t="b">
        <v>0</v>
      </c>
      <c r="U166" s="124"/>
      <c r="V166" s="124" t="b">
        <v>0</v>
      </c>
      <c r="W166" s="125"/>
    </row>
    <row r="167" spans="2:23" ht="15" customHeight="1" x14ac:dyDescent="0.25">
      <c r="B167" s="113" t="s">
        <v>105</v>
      </c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45" t="s">
        <v>44</v>
      </c>
      <c r="T167" s="64" t="s">
        <v>107</v>
      </c>
      <c r="U167" s="64"/>
      <c r="V167" s="64" t="s">
        <v>106</v>
      </c>
      <c r="W167" s="70"/>
    </row>
    <row r="168" spans="2:23" ht="15" customHeight="1" x14ac:dyDescent="0.25">
      <c r="B168" s="41" t="s">
        <v>238</v>
      </c>
      <c r="C168" s="130" t="s">
        <v>180</v>
      </c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1"/>
      <c r="S168" s="46" t="b">
        <v>0</v>
      </c>
      <c r="T168" s="63" t="b">
        <v>0</v>
      </c>
      <c r="U168" s="63"/>
      <c r="V168" s="63" t="b">
        <v>0</v>
      </c>
      <c r="W168" s="75"/>
    </row>
    <row r="169" spans="2:23" ht="15" customHeight="1" thickBot="1" x14ac:dyDescent="0.3">
      <c r="B169" s="43" t="s">
        <v>238</v>
      </c>
      <c r="C169" s="142" t="s">
        <v>181</v>
      </c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3"/>
      <c r="S169" s="49" t="b">
        <v>0</v>
      </c>
      <c r="T169" s="61" t="b">
        <v>0</v>
      </c>
      <c r="U169" s="61"/>
      <c r="V169" s="61" t="b">
        <v>0</v>
      </c>
      <c r="W169" s="62"/>
    </row>
    <row r="170" spans="2:23" ht="15" customHeight="1" thickBot="1" x14ac:dyDescent="0.3">
      <c r="B170" s="136" t="s">
        <v>46</v>
      </c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8"/>
      <c r="S170" s="55" t="s">
        <v>44</v>
      </c>
      <c r="T170" s="126" t="s">
        <v>107</v>
      </c>
      <c r="U170" s="126"/>
      <c r="V170" s="126" t="s">
        <v>106</v>
      </c>
      <c r="W170" s="127"/>
    </row>
    <row r="171" spans="2:23" ht="15" customHeight="1" x14ac:dyDescent="0.25">
      <c r="B171" s="41" t="s">
        <v>236</v>
      </c>
      <c r="C171" s="130" t="s">
        <v>185</v>
      </c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1"/>
      <c r="S171" s="46" t="b">
        <v>0</v>
      </c>
      <c r="T171" s="63" t="b">
        <v>0</v>
      </c>
      <c r="U171" s="63"/>
      <c r="V171" s="63" t="b">
        <v>0</v>
      </c>
      <c r="W171" s="75"/>
    </row>
    <row r="172" spans="2:23" ht="15" customHeight="1" x14ac:dyDescent="0.25">
      <c r="B172" s="42" t="s">
        <v>236</v>
      </c>
      <c r="C172" s="111" t="s">
        <v>186</v>
      </c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2"/>
      <c r="S172" s="47" t="b">
        <v>0</v>
      </c>
      <c r="T172" s="73" t="b">
        <v>0</v>
      </c>
      <c r="U172" s="73"/>
      <c r="V172" s="73" t="b">
        <v>0</v>
      </c>
      <c r="W172" s="74"/>
    </row>
    <row r="173" spans="2:23" ht="15" customHeight="1" x14ac:dyDescent="0.25">
      <c r="B173" s="41" t="s">
        <v>236</v>
      </c>
      <c r="C173" s="130" t="s">
        <v>187</v>
      </c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1"/>
      <c r="S173" s="46" t="b">
        <v>0</v>
      </c>
      <c r="T173" s="63" t="b">
        <v>0</v>
      </c>
      <c r="U173" s="63"/>
      <c r="V173" s="63" t="b">
        <v>0</v>
      </c>
      <c r="W173" s="75"/>
    </row>
    <row r="174" spans="2:23" ht="15" customHeight="1" x14ac:dyDescent="0.25">
      <c r="B174" s="42" t="s">
        <v>236</v>
      </c>
      <c r="C174" s="111" t="s">
        <v>188</v>
      </c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2"/>
      <c r="S174" s="47" t="b">
        <v>0</v>
      </c>
      <c r="T174" s="73" t="b">
        <v>0</v>
      </c>
      <c r="U174" s="73"/>
      <c r="V174" s="73" t="b">
        <v>0</v>
      </c>
      <c r="W174" s="74"/>
    </row>
    <row r="175" spans="2:23" ht="15" customHeight="1" x14ac:dyDescent="0.25">
      <c r="B175" s="41" t="s">
        <v>238</v>
      </c>
      <c r="C175" s="130" t="s">
        <v>189</v>
      </c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1"/>
      <c r="S175" s="46" t="b">
        <v>0</v>
      </c>
      <c r="T175" s="63" t="b">
        <v>0</v>
      </c>
      <c r="U175" s="63"/>
      <c r="V175" s="63" t="b">
        <v>0</v>
      </c>
      <c r="W175" s="75"/>
    </row>
    <row r="176" spans="2:23" ht="15" customHeight="1" x14ac:dyDescent="0.25">
      <c r="B176" s="42" t="s">
        <v>238</v>
      </c>
      <c r="C176" s="111" t="s">
        <v>190</v>
      </c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2"/>
      <c r="S176" s="47" t="b">
        <v>0</v>
      </c>
      <c r="T176" s="73" t="b">
        <v>0</v>
      </c>
      <c r="U176" s="73"/>
      <c r="V176" s="73" t="b">
        <v>0</v>
      </c>
      <c r="W176" s="74"/>
    </row>
    <row r="177" spans="2:23" ht="15" customHeight="1" x14ac:dyDescent="0.25">
      <c r="B177" s="41" t="s">
        <v>238</v>
      </c>
      <c r="C177" s="130" t="s">
        <v>191</v>
      </c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1"/>
      <c r="S177" s="46" t="b">
        <v>0</v>
      </c>
      <c r="T177" s="63" t="b">
        <v>0</v>
      </c>
      <c r="U177" s="63"/>
      <c r="V177" s="63" t="b">
        <v>0</v>
      </c>
      <c r="W177" s="75"/>
    </row>
    <row r="178" spans="2:23" ht="15" customHeight="1" x14ac:dyDescent="0.25">
      <c r="B178" s="42" t="s">
        <v>238</v>
      </c>
      <c r="C178" s="111" t="s">
        <v>192</v>
      </c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2"/>
      <c r="S178" s="47" t="b">
        <v>0</v>
      </c>
      <c r="T178" s="73" t="b">
        <v>0</v>
      </c>
      <c r="U178" s="73"/>
      <c r="V178" s="73" t="b">
        <v>0</v>
      </c>
      <c r="W178" s="74"/>
    </row>
    <row r="179" spans="2:23" ht="15" customHeight="1" x14ac:dyDescent="0.25">
      <c r="B179" s="41" t="s">
        <v>238</v>
      </c>
      <c r="C179" s="130" t="s">
        <v>193</v>
      </c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1"/>
      <c r="S179" s="46" t="b">
        <v>0</v>
      </c>
      <c r="T179" s="63" t="b">
        <v>0</v>
      </c>
      <c r="U179" s="63"/>
      <c r="V179" s="63" t="b">
        <v>0</v>
      </c>
      <c r="W179" s="75"/>
    </row>
    <row r="180" spans="2:23" ht="15" customHeight="1" x14ac:dyDescent="0.25">
      <c r="B180" s="42" t="s">
        <v>238</v>
      </c>
      <c r="C180" s="111" t="s">
        <v>194</v>
      </c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2"/>
      <c r="S180" s="47" t="b">
        <v>0</v>
      </c>
      <c r="T180" s="73" t="b">
        <v>0</v>
      </c>
      <c r="U180" s="73"/>
      <c r="V180" s="73" t="b">
        <v>0</v>
      </c>
      <c r="W180" s="74"/>
    </row>
    <row r="181" spans="2:23" ht="15" customHeight="1" thickBot="1" x14ac:dyDescent="0.3">
      <c r="B181" s="44" t="s">
        <v>238</v>
      </c>
      <c r="C181" s="130" t="s">
        <v>195</v>
      </c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1"/>
      <c r="S181" s="48" t="b">
        <v>0</v>
      </c>
      <c r="T181" s="124" t="b">
        <v>0</v>
      </c>
      <c r="U181" s="124"/>
      <c r="V181" s="124" t="b">
        <v>0</v>
      </c>
      <c r="W181" s="125"/>
    </row>
    <row r="182" spans="2:23" ht="15" customHeight="1" thickBot="1" x14ac:dyDescent="0.3">
      <c r="B182" s="136" t="s">
        <v>45</v>
      </c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8"/>
      <c r="S182" s="55" t="s">
        <v>44</v>
      </c>
      <c r="T182" s="126" t="s">
        <v>107</v>
      </c>
      <c r="U182" s="126"/>
      <c r="V182" s="126" t="s">
        <v>106</v>
      </c>
      <c r="W182" s="127"/>
    </row>
    <row r="183" spans="2:23" ht="15" customHeight="1" x14ac:dyDescent="0.25">
      <c r="B183" s="41" t="s">
        <v>238</v>
      </c>
      <c r="C183" s="130" t="s">
        <v>196</v>
      </c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1"/>
      <c r="S183" s="46" t="b">
        <v>0</v>
      </c>
      <c r="T183" s="63" t="b">
        <v>0</v>
      </c>
      <c r="U183" s="63"/>
      <c r="V183" s="63" t="b">
        <v>0</v>
      </c>
      <c r="W183" s="75"/>
    </row>
    <row r="184" spans="2:23" ht="15" customHeight="1" x14ac:dyDescent="0.25">
      <c r="B184" s="42" t="s">
        <v>236</v>
      </c>
      <c r="C184" s="111" t="s">
        <v>197</v>
      </c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2"/>
      <c r="S184" s="47" t="b">
        <v>0</v>
      </c>
      <c r="T184" s="73" t="b">
        <v>0</v>
      </c>
      <c r="U184" s="73"/>
      <c r="V184" s="73" t="b">
        <v>0</v>
      </c>
      <c r="W184" s="74"/>
    </row>
    <row r="185" spans="2:23" ht="15" customHeight="1" x14ac:dyDescent="0.25">
      <c r="B185" s="41" t="s">
        <v>238</v>
      </c>
      <c r="C185" s="130" t="s">
        <v>198</v>
      </c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1"/>
      <c r="S185" s="46" t="b">
        <v>0</v>
      </c>
      <c r="T185" s="63" t="b">
        <v>0</v>
      </c>
      <c r="U185" s="63"/>
      <c r="V185" s="63" t="b">
        <v>0</v>
      </c>
      <c r="W185" s="75"/>
    </row>
    <row r="186" spans="2:23" ht="15" customHeight="1" x14ac:dyDescent="0.25">
      <c r="B186" s="42" t="s">
        <v>238</v>
      </c>
      <c r="C186" s="111" t="s">
        <v>199</v>
      </c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2"/>
      <c r="S186" s="47" t="b">
        <v>0</v>
      </c>
      <c r="T186" s="73" t="b">
        <v>0</v>
      </c>
      <c r="U186" s="73"/>
      <c r="V186" s="73" t="b">
        <v>0</v>
      </c>
      <c r="W186" s="74"/>
    </row>
    <row r="187" spans="2:23" ht="15" customHeight="1" x14ac:dyDescent="0.25">
      <c r="B187" s="41" t="s">
        <v>238</v>
      </c>
      <c r="C187" s="130" t="s">
        <v>200</v>
      </c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1"/>
      <c r="S187" s="46" t="b">
        <v>0</v>
      </c>
      <c r="T187" s="63" t="b">
        <v>0</v>
      </c>
      <c r="U187" s="63"/>
      <c r="V187" s="63" t="b">
        <v>0</v>
      </c>
      <c r="W187" s="75"/>
    </row>
    <row r="188" spans="2:23" ht="15" customHeight="1" x14ac:dyDescent="0.25">
      <c r="B188" s="42" t="s">
        <v>236</v>
      </c>
      <c r="C188" s="111" t="s">
        <v>201</v>
      </c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2"/>
      <c r="S188" s="47" t="b">
        <v>0</v>
      </c>
      <c r="T188" s="73" t="b">
        <v>0</v>
      </c>
      <c r="U188" s="73"/>
      <c r="V188" s="73" t="b">
        <v>0</v>
      </c>
      <c r="W188" s="74"/>
    </row>
    <row r="189" spans="2:23" ht="15" customHeight="1" x14ac:dyDescent="0.25">
      <c r="B189" s="41" t="s">
        <v>245</v>
      </c>
      <c r="C189" s="130" t="s">
        <v>202</v>
      </c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1"/>
      <c r="S189" s="46" t="b">
        <v>0</v>
      </c>
      <c r="T189" s="63" t="b">
        <v>0</v>
      </c>
      <c r="U189" s="63"/>
      <c r="V189" s="63" t="b">
        <v>0</v>
      </c>
      <c r="W189" s="75"/>
    </row>
    <row r="190" spans="2:23" ht="15" customHeight="1" x14ac:dyDescent="0.25">
      <c r="B190" s="42" t="s">
        <v>245</v>
      </c>
      <c r="C190" s="111" t="s">
        <v>203</v>
      </c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2"/>
      <c r="S190" s="47" t="b">
        <v>0</v>
      </c>
      <c r="T190" s="73" t="b">
        <v>0</v>
      </c>
      <c r="U190" s="73"/>
      <c r="V190" s="73" t="b">
        <v>0</v>
      </c>
      <c r="W190" s="74"/>
    </row>
    <row r="191" spans="2:23" ht="15" customHeight="1" thickBot="1" x14ac:dyDescent="0.3">
      <c r="B191" s="44" t="s">
        <v>245</v>
      </c>
      <c r="C191" s="130" t="s">
        <v>204</v>
      </c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1"/>
      <c r="S191" s="48" t="b">
        <v>0</v>
      </c>
      <c r="T191" s="124" t="b">
        <v>0</v>
      </c>
      <c r="U191" s="124"/>
      <c r="V191" s="124" t="b">
        <v>0</v>
      </c>
      <c r="W191" s="125"/>
    </row>
    <row r="192" spans="2:23" ht="15" customHeight="1" thickBot="1" x14ac:dyDescent="0.3">
      <c r="B192" s="136" t="s">
        <v>108</v>
      </c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8"/>
      <c r="S192" s="55" t="s">
        <v>44</v>
      </c>
      <c r="T192" s="126" t="s">
        <v>107</v>
      </c>
      <c r="U192" s="126"/>
      <c r="V192" s="126" t="s">
        <v>106</v>
      </c>
      <c r="W192" s="127"/>
    </row>
    <row r="193" spans="2:23" ht="15" customHeight="1" x14ac:dyDescent="0.25">
      <c r="B193" s="41" t="s">
        <v>238</v>
      </c>
      <c r="C193" s="130" t="s">
        <v>205</v>
      </c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1"/>
      <c r="S193" s="46" t="b">
        <v>0</v>
      </c>
      <c r="T193" s="63" t="b">
        <v>0</v>
      </c>
      <c r="U193" s="63"/>
      <c r="V193" s="63" t="b">
        <v>0</v>
      </c>
      <c r="W193" s="75"/>
    </row>
    <row r="194" spans="2:23" ht="15" customHeight="1" x14ac:dyDescent="0.25">
      <c r="B194" s="42" t="s">
        <v>238</v>
      </c>
      <c r="C194" s="111" t="s">
        <v>206</v>
      </c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2"/>
      <c r="S194" s="47" t="b">
        <v>0</v>
      </c>
      <c r="T194" s="73" t="b">
        <v>0</v>
      </c>
      <c r="U194" s="73"/>
      <c r="V194" s="73" t="b">
        <v>0</v>
      </c>
      <c r="W194" s="74"/>
    </row>
    <row r="195" spans="2:23" ht="15" customHeight="1" x14ac:dyDescent="0.25">
      <c r="B195" s="41" t="s">
        <v>238</v>
      </c>
      <c r="C195" s="130" t="s">
        <v>207</v>
      </c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1"/>
      <c r="S195" s="46" t="b">
        <v>0</v>
      </c>
      <c r="T195" s="63" t="b">
        <v>0</v>
      </c>
      <c r="U195" s="63"/>
      <c r="V195" s="63" t="b">
        <v>0</v>
      </c>
      <c r="W195" s="75"/>
    </row>
    <row r="196" spans="2:23" ht="15" customHeight="1" thickBot="1" x14ac:dyDescent="0.3">
      <c r="B196" s="43" t="s">
        <v>238</v>
      </c>
      <c r="C196" s="111" t="s">
        <v>208</v>
      </c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2"/>
      <c r="S196" s="49" t="b">
        <v>0</v>
      </c>
      <c r="T196" s="61" t="b">
        <v>0</v>
      </c>
      <c r="U196" s="61"/>
      <c r="V196" s="61" t="b">
        <v>0</v>
      </c>
      <c r="W196" s="62"/>
    </row>
    <row r="197" spans="2:23" ht="15" customHeight="1" thickBot="1" x14ac:dyDescent="0.3">
      <c r="B197" s="136" t="s">
        <v>109</v>
      </c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8"/>
      <c r="S197" s="55" t="s">
        <v>44</v>
      </c>
      <c r="T197" s="126" t="s">
        <v>107</v>
      </c>
      <c r="U197" s="126"/>
      <c r="V197" s="126" t="s">
        <v>106</v>
      </c>
      <c r="W197" s="127"/>
    </row>
    <row r="198" spans="2:23" ht="15" customHeight="1" x14ac:dyDescent="0.25">
      <c r="B198" s="41" t="s">
        <v>236</v>
      </c>
      <c r="C198" s="130" t="s">
        <v>212</v>
      </c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1"/>
      <c r="S198" s="46" t="b">
        <v>0</v>
      </c>
      <c r="T198" s="63" t="b">
        <v>0</v>
      </c>
      <c r="U198" s="63"/>
      <c r="V198" s="63" t="b">
        <v>0</v>
      </c>
      <c r="W198" s="75"/>
    </row>
    <row r="199" spans="2:23" ht="15" customHeight="1" x14ac:dyDescent="0.25">
      <c r="B199" s="42" t="s">
        <v>238</v>
      </c>
      <c r="C199" s="111" t="s">
        <v>209</v>
      </c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2"/>
      <c r="S199" s="47" t="b">
        <v>0</v>
      </c>
      <c r="T199" s="73" t="b">
        <v>0</v>
      </c>
      <c r="U199" s="73"/>
      <c r="V199" s="73" t="b">
        <v>0</v>
      </c>
      <c r="W199" s="74"/>
    </row>
    <row r="200" spans="2:23" ht="15" customHeight="1" x14ac:dyDescent="0.25">
      <c r="B200" s="41" t="s">
        <v>238</v>
      </c>
      <c r="C200" s="130" t="s">
        <v>213</v>
      </c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1"/>
      <c r="S200" s="46" t="b">
        <v>0</v>
      </c>
      <c r="T200" s="63" t="b">
        <v>0</v>
      </c>
      <c r="U200" s="63"/>
      <c r="V200" s="63" t="b">
        <v>0</v>
      </c>
      <c r="W200" s="75"/>
    </row>
    <row r="201" spans="2:23" ht="15" customHeight="1" x14ac:dyDescent="0.25">
      <c r="B201" s="42" t="s">
        <v>238</v>
      </c>
      <c r="C201" s="111" t="s">
        <v>210</v>
      </c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2"/>
      <c r="S201" s="47" t="b">
        <v>0</v>
      </c>
      <c r="T201" s="73" t="b">
        <v>0</v>
      </c>
      <c r="U201" s="73"/>
      <c r="V201" s="73" t="b">
        <v>0</v>
      </c>
      <c r="W201" s="74"/>
    </row>
    <row r="202" spans="2:23" ht="15" customHeight="1" x14ac:dyDescent="0.25">
      <c r="B202" s="41" t="s">
        <v>249</v>
      </c>
      <c r="C202" s="130" t="s">
        <v>211</v>
      </c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1"/>
      <c r="S202" s="46" t="b">
        <v>0</v>
      </c>
      <c r="T202" s="63" t="b">
        <v>0</v>
      </c>
      <c r="U202" s="63"/>
      <c r="V202" s="63" t="b">
        <v>0</v>
      </c>
      <c r="W202" s="75"/>
    </row>
    <row r="203" spans="2:23" ht="15" customHeight="1" x14ac:dyDescent="0.25">
      <c r="B203" s="42" t="s">
        <v>238</v>
      </c>
      <c r="C203" s="111" t="s">
        <v>214</v>
      </c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2"/>
      <c r="S203" s="47" t="b">
        <v>0</v>
      </c>
      <c r="T203" s="73" t="b">
        <v>0</v>
      </c>
      <c r="U203" s="73"/>
      <c r="V203" s="73" t="b">
        <v>0</v>
      </c>
      <c r="W203" s="74"/>
    </row>
    <row r="204" spans="2:23" ht="15" customHeight="1" x14ac:dyDescent="0.25">
      <c r="B204" s="41" t="s">
        <v>238</v>
      </c>
      <c r="C204" s="130" t="s">
        <v>215</v>
      </c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1"/>
      <c r="S204" s="46" t="b">
        <v>0</v>
      </c>
      <c r="T204" s="63" t="b">
        <v>0</v>
      </c>
      <c r="U204" s="63"/>
      <c r="V204" s="63" t="b">
        <v>0</v>
      </c>
      <c r="W204" s="75"/>
    </row>
    <row r="205" spans="2:23" ht="15" customHeight="1" x14ac:dyDescent="0.25">
      <c r="B205" s="42" t="s">
        <v>242</v>
      </c>
      <c r="C205" s="111" t="s">
        <v>216</v>
      </c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2"/>
      <c r="S205" s="47" t="b">
        <v>0</v>
      </c>
      <c r="T205" s="73" t="b">
        <v>0</v>
      </c>
      <c r="U205" s="73" t="b">
        <v>0</v>
      </c>
      <c r="V205" s="73" t="b">
        <v>0</v>
      </c>
      <c r="W205" s="74" t="b">
        <v>0</v>
      </c>
    </row>
    <row r="206" spans="2:23" ht="15" customHeight="1" thickBot="1" x14ac:dyDescent="0.3">
      <c r="B206" s="41" t="s">
        <v>238</v>
      </c>
      <c r="C206" s="130" t="s">
        <v>217</v>
      </c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1"/>
      <c r="S206" s="46" t="b">
        <v>0</v>
      </c>
      <c r="T206" s="63" t="b">
        <v>0</v>
      </c>
      <c r="U206" s="63"/>
      <c r="V206" s="63" t="b">
        <v>0</v>
      </c>
      <c r="W206" s="75"/>
    </row>
    <row r="207" spans="2:23" ht="15" customHeight="1" thickBot="1" x14ac:dyDescent="0.3">
      <c r="B207" s="136" t="s">
        <v>110</v>
      </c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8"/>
      <c r="S207" s="55" t="s">
        <v>44</v>
      </c>
      <c r="T207" s="126" t="s">
        <v>107</v>
      </c>
      <c r="U207" s="126"/>
      <c r="V207" s="126" t="s">
        <v>106</v>
      </c>
      <c r="W207" s="127"/>
    </row>
    <row r="208" spans="2:23" ht="15" customHeight="1" x14ac:dyDescent="0.25">
      <c r="B208" s="41" t="s">
        <v>236</v>
      </c>
      <c r="C208" s="130" t="s">
        <v>218</v>
      </c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1"/>
      <c r="S208" s="46" t="b">
        <v>0</v>
      </c>
      <c r="T208" s="63" t="b">
        <v>0</v>
      </c>
      <c r="U208" s="63"/>
      <c r="V208" s="63" t="b">
        <v>0</v>
      </c>
      <c r="W208" s="75"/>
    </row>
    <row r="209" spans="2:23" ht="15" customHeight="1" x14ac:dyDescent="0.25">
      <c r="B209" s="42" t="s">
        <v>238</v>
      </c>
      <c r="C209" s="111" t="s">
        <v>219</v>
      </c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2"/>
      <c r="S209" s="47" t="b">
        <v>0</v>
      </c>
      <c r="T209" s="73" t="b">
        <v>0</v>
      </c>
      <c r="U209" s="73"/>
      <c r="V209" s="73" t="b">
        <v>0</v>
      </c>
      <c r="W209" s="74"/>
    </row>
    <row r="210" spans="2:23" ht="15" customHeight="1" x14ac:dyDescent="0.25">
      <c r="B210" s="41" t="s">
        <v>238</v>
      </c>
      <c r="C210" s="130" t="s">
        <v>220</v>
      </c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1"/>
      <c r="S210" s="46" t="b">
        <v>0</v>
      </c>
      <c r="T210" s="63" t="b">
        <v>0</v>
      </c>
      <c r="U210" s="63"/>
      <c r="V210" s="63" t="b">
        <v>0</v>
      </c>
      <c r="W210" s="75"/>
    </row>
    <row r="211" spans="2:23" ht="15" customHeight="1" x14ac:dyDescent="0.25">
      <c r="B211" s="42" t="s">
        <v>238</v>
      </c>
      <c r="C211" s="111" t="s">
        <v>221</v>
      </c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2"/>
      <c r="S211" s="47" t="b">
        <v>0</v>
      </c>
      <c r="T211" s="73" t="b">
        <v>0</v>
      </c>
      <c r="U211" s="73"/>
      <c r="V211" s="73" t="b">
        <v>0</v>
      </c>
      <c r="W211" s="74"/>
    </row>
    <row r="212" spans="2:23" ht="15" customHeight="1" thickBot="1" x14ac:dyDescent="0.3">
      <c r="B212" s="44" t="s">
        <v>238</v>
      </c>
      <c r="C212" s="130" t="s">
        <v>222</v>
      </c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1"/>
      <c r="S212" s="48" t="b">
        <v>0</v>
      </c>
      <c r="T212" s="124" t="b">
        <v>0</v>
      </c>
      <c r="U212" s="124"/>
      <c r="V212" s="124" t="b">
        <v>0</v>
      </c>
      <c r="W212" s="125"/>
    </row>
    <row r="213" spans="2:23" ht="15" customHeight="1" thickBot="1" x14ac:dyDescent="0.3">
      <c r="B213" s="136" t="s">
        <v>111</v>
      </c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55" t="s">
        <v>44</v>
      </c>
      <c r="T213" s="126" t="s">
        <v>107</v>
      </c>
      <c r="U213" s="126"/>
      <c r="V213" s="126" t="s">
        <v>106</v>
      </c>
      <c r="W213" s="127"/>
    </row>
    <row r="214" spans="2:23" ht="15" customHeight="1" x14ac:dyDescent="0.25">
      <c r="B214" s="56" t="s">
        <v>238</v>
      </c>
      <c r="C214" s="144" t="s">
        <v>223</v>
      </c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5"/>
      <c r="S214" s="57" t="b">
        <v>0</v>
      </c>
      <c r="T214" s="128" t="b">
        <v>0</v>
      </c>
      <c r="U214" s="128"/>
      <c r="V214" s="128" t="b">
        <v>0</v>
      </c>
      <c r="W214" s="129"/>
    </row>
    <row r="215" spans="2:23" ht="15" customHeight="1" x14ac:dyDescent="0.25">
      <c r="B215" s="42" t="s">
        <v>238</v>
      </c>
      <c r="C215" s="111" t="s">
        <v>224</v>
      </c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2"/>
      <c r="S215" s="47" t="b">
        <v>0</v>
      </c>
      <c r="T215" s="73" t="b">
        <v>0</v>
      </c>
      <c r="U215" s="73"/>
      <c r="V215" s="73" t="b">
        <v>0</v>
      </c>
      <c r="W215" s="74"/>
    </row>
    <row r="216" spans="2:23" ht="15" customHeight="1" x14ac:dyDescent="0.25">
      <c r="B216" s="41" t="s">
        <v>238</v>
      </c>
      <c r="C216" s="130" t="s">
        <v>225</v>
      </c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1"/>
      <c r="S216" s="46" t="b">
        <v>0</v>
      </c>
      <c r="T216" s="63" t="b">
        <v>0</v>
      </c>
      <c r="U216" s="63"/>
      <c r="V216" s="63" t="b">
        <v>0</v>
      </c>
      <c r="W216" s="75"/>
    </row>
    <row r="217" spans="2:23" ht="15" customHeight="1" x14ac:dyDescent="0.25">
      <c r="B217" s="42" t="s">
        <v>238</v>
      </c>
      <c r="C217" s="111" t="s">
        <v>226</v>
      </c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2"/>
      <c r="S217" s="47" t="b">
        <v>0</v>
      </c>
      <c r="T217" s="73" t="b">
        <v>0</v>
      </c>
      <c r="U217" s="73"/>
      <c r="V217" s="73" t="b">
        <v>0</v>
      </c>
      <c r="W217" s="74"/>
    </row>
    <row r="218" spans="2:23" ht="15" customHeight="1" x14ac:dyDescent="0.25">
      <c r="B218" s="41" t="s">
        <v>238</v>
      </c>
      <c r="C218" s="130" t="s">
        <v>227</v>
      </c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1"/>
      <c r="S218" s="46" t="b">
        <v>0</v>
      </c>
      <c r="T218" s="63" t="b">
        <v>0</v>
      </c>
      <c r="U218" s="63"/>
      <c r="V218" s="63" t="b">
        <v>0</v>
      </c>
      <c r="W218" s="75"/>
    </row>
    <row r="219" spans="2:23" ht="15" customHeight="1" x14ac:dyDescent="0.25">
      <c r="B219" s="42" t="s">
        <v>238</v>
      </c>
      <c r="C219" s="111" t="s">
        <v>228</v>
      </c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2"/>
      <c r="S219" s="47" t="b">
        <v>0</v>
      </c>
      <c r="T219" s="73" t="b">
        <v>0</v>
      </c>
      <c r="U219" s="73"/>
      <c r="V219" s="73" t="b">
        <v>0</v>
      </c>
      <c r="W219" s="74"/>
    </row>
    <row r="220" spans="2:23" ht="15" customHeight="1" x14ac:dyDescent="0.25">
      <c r="B220" s="41" t="s">
        <v>238</v>
      </c>
      <c r="C220" s="130" t="s">
        <v>229</v>
      </c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1"/>
      <c r="S220" s="46" t="b">
        <v>0</v>
      </c>
      <c r="T220" s="63" t="b">
        <v>0</v>
      </c>
      <c r="U220" s="63"/>
      <c r="V220" s="63" t="b">
        <v>0</v>
      </c>
      <c r="W220" s="75"/>
    </row>
    <row r="221" spans="2:23" ht="15" customHeight="1" x14ac:dyDescent="0.25">
      <c r="B221" s="42" t="s">
        <v>238</v>
      </c>
      <c r="C221" s="111" t="s">
        <v>230</v>
      </c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2"/>
      <c r="S221" s="47" t="b">
        <v>0</v>
      </c>
      <c r="T221" s="73" t="b">
        <v>0</v>
      </c>
      <c r="U221" s="73"/>
      <c r="V221" s="73" t="b">
        <v>0</v>
      </c>
      <c r="W221" s="74"/>
    </row>
    <row r="222" spans="2:23" ht="15" customHeight="1" x14ac:dyDescent="0.25">
      <c r="B222" s="41" t="s">
        <v>238</v>
      </c>
      <c r="C222" s="130" t="s">
        <v>231</v>
      </c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1"/>
      <c r="S222" s="46" t="b">
        <v>0</v>
      </c>
      <c r="T222" s="63" t="b">
        <v>0</v>
      </c>
      <c r="U222" s="63"/>
      <c r="V222" s="63" t="b">
        <v>0</v>
      </c>
      <c r="W222" s="75"/>
    </row>
    <row r="223" spans="2:23" ht="15" customHeight="1" thickBot="1" x14ac:dyDescent="0.3">
      <c r="B223" s="43" t="s">
        <v>249</v>
      </c>
      <c r="C223" s="142" t="s">
        <v>232</v>
      </c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3"/>
      <c r="S223" s="49" t="b">
        <v>0</v>
      </c>
      <c r="T223" s="61" t="b">
        <v>0</v>
      </c>
      <c r="U223" s="61"/>
      <c r="V223" s="61" t="b">
        <v>0</v>
      </c>
      <c r="W223" s="62"/>
    </row>
  </sheetData>
  <mergeCells count="627">
    <mergeCell ref="C222:R222"/>
    <mergeCell ref="C201:R201"/>
    <mergeCell ref="C203:R203"/>
    <mergeCell ref="C204:R204"/>
    <mergeCell ref="C209:R209"/>
    <mergeCell ref="C211:R211"/>
    <mergeCell ref="C215:R215"/>
    <mergeCell ref="C216:R216"/>
    <mergeCell ref="C218:R218"/>
    <mergeCell ref="C220:R220"/>
    <mergeCell ref="C219:R219"/>
    <mergeCell ref="C221:R221"/>
    <mergeCell ref="C206:R206"/>
    <mergeCell ref="C208:R208"/>
    <mergeCell ref="C210:R210"/>
    <mergeCell ref="C212:R212"/>
    <mergeCell ref="C214:R214"/>
    <mergeCell ref="C217:R217"/>
    <mergeCell ref="C205:R205"/>
    <mergeCell ref="B207:R207"/>
    <mergeCell ref="B213:R213"/>
    <mergeCell ref="C202:R202"/>
    <mergeCell ref="C180:R180"/>
    <mergeCell ref="C184:R184"/>
    <mergeCell ref="C186:R186"/>
    <mergeCell ref="C188:R188"/>
    <mergeCell ref="C190:R190"/>
    <mergeCell ref="C194:R194"/>
    <mergeCell ref="C196:R196"/>
    <mergeCell ref="C199:R199"/>
    <mergeCell ref="C183:R183"/>
    <mergeCell ref="C185:R185"/>
    <mergeCell ref="C187:R187"/>
    <mergeCell ref="C189:R189"/>
    <mergeCell ref="C191:R191"/>
    <mergeCell ref="C193:R193"/>
    <mergeCell ref="C195:R195"/>
    <mergeCell ref="C198:R198"/>
    <mergeCell ref="B132:R132"/>
    <mergeCell ref="C160:R160"/>
    <mergeCell ref="C162:R162"/>
    <mergeCell ref="C165:R165"/>
    <mergeCell ref="C169:R169"/>
    <mergeCell ref="C172:R172"/>
    <mergeCell ref="C174:R174"/>
    <mergeCell ref="C176:R176"/>
    <mergeCell ref="C178:R178"/>
    <mergeCell ref="C151:R151"/>
    <mergeCell ref="C153:R153"/>
    <mergeCell ref="C155:R155"/>
    <mergeCell ref="C157:R157"/>
    <mergeCell ref="C223:R223"/>
    <mergeCell ref="C32:R32"/>
    <mergeCell ref="C34:R34"/>
    <mergeCell ref="C38:R38"/>
    <mergeCell ref="C41:R41"/>
    <mergeCell ref="C42:R42"/>
    <mergeCell ref="C47:R47"/>
    <mergeCell ref="C51:R51"/>
    <mergeCell ref="C53:R53"/>
    <mergeCell ref="C56:R56"/>
    <mergeCell ref="C58:R58"/>
    <mergeCell ref="C62:R62"/>
    <mergeCell ref="C65:R65"/>
    <mergeCell ref="C67:R67"/>
    <mergeCell ref="C69:R69"/>
    <mergeCell ref="C71:R71"/>
    <mergeCell ref="C73:R73"/>
    <mergeCell ref="B103:R103"/>
    <mergeCell ref="B108:R108"/>
    <mergeCell ref="B111:R111"/>
    <mergeCell ref="B121:R121"/>
    <mergeCell ref="C102:R102"/>
    <mergeCell ref="C104:R104"/>
    <mergeCell ref="C106:R106"/>
    <mergeCell ref="C200:R200"/>
    <mergeCell ref="C133:R133"/>
    <mergeCell ref="C135:R135"/>
    <mergeCell ref="C137:R137"/>
    <mergeCell ref="C139:R139"/>
    <mergeCell ref="C141:R141"/>
    <mergeCell ref="C143:R143"/>
    <mergeCell ref="C145:R145"/>
    <mergeCell ref="C149:R149"/>
    <mergeCell ref="B192:R192"/>
    <mergeCell ref="B197:R197"/>
    <mergeCell ref="B147:W147"/>
    <mergeCell ref="B142:R142"/>
    <mergeCell ref="V198:W198"/>
    <mergeCell ref="V199:W199"/>
    <mergeCell ref="V200:W200"/>
    <mergeCell ref="V188:W188"/>
    <mergeCell ref="V189:W189"/>
    <mergeCell ref="C134:R134"/>
    <mergeCell ref="C136:R136"/>
    <mergeCell ref="C138:R138"/>
    <mergeCell ref="C140:R140"/>
    <mergeCell ref="C144:R144"/>
    <mergeCell ref="V190:W190"/>
    <mergeCell ref="V191:W191"/>
    <mergeCell ref="T193:U193"/>
    <mergeCell ref="T194:U194"/>
    <mergeCell ref="T195:U195"/>
    <mergeCell ref="C126:R126"/>
    <mergeCell ref="C128:R128"/>
    <mergeCell ref="C130:R130"/>
    <mergeCell ref="C127:R127"/>
    <mergeCell ref="C129:R129"/>
    <mergeCell ref="B163:R163"/>
    <mergeCell ref="B167:R167"/>
    <mergeCell ref="B170:R170"/>
    <mergeCell ref="B182:R182"/>
    <mergeCell ref="C159:R159"/>
    <mergeCell ref="C161:R161"/>
    <mergeCell ref="C164:R164"/>
    <mergeCell ref="C166:R166"/>
    <mergeCell ref="C168:R168"/>
    <mergeCell ref="C171:R171"/>
    <mergeCell ref="C173:R173"/>
    <mergeCell ref="C175:R175"/>
    <mergeCell ref="C177:R177"/>
    <mergeCell ref="C179:R179"/>
    <mergeCell ref="B158:R158"/>
    <mergeCell ref="D50:R50"/>
    <mergeCell ref="D49:R49"/>
    <mergeCell ref="C30:R30"/>
    <mergeCell ref="C29:R29"/>
    <mergeCell ref="C31:R31"/>
    <mergeCell ref="C33:R33"/>
    <mergeCell ref="C35:R35"/>
    <mergeCell ref="C37:R37"/>
    <mergeCell ref="C40:R40"/>
    <mergeCell ref="C43:R43"/>
    <mergeCell ref="C45:R45"/>
    <mergeCell ref="C48:R48"/>
    <mergeCell ref="C77:R77"/>
    <mergeCell ref="C81:R81"/>
    <mergeCell ref="C64:R64"/>
    <mergeCell ref="C83:R83"/>
    <mergeCell ref="C123:R123"/>
    <mergeCell ref="C125:R125"/>
    <mergeCell ref="C112:R112"/>
    <mergeCell ref="C99:R99"/>
    <mergeCell ref="C84:R84"/>
    <mergeCell ref="C86:R86"/>
    <mergeCell ref="C88:R88"/>
    <mergeCell ref="C90:R90"/>
    <mergeCell ref="C91:R91"/>
    <mergeCell ref="C92:R92"/>
    <mergeCell ref="C94:R94"/>
    <mergeCell ref="D115:R115"/>
    <mergeCell ref="C52:R52"/>
    <mergeCell ref="C55:R55"/>
    <mergeCell ref="C57:R57"/>
    <mergeCell ref="C61:R61"/>
    <mergeCell ref="C63:R63"/>
    <mergeCell ref="B148:R148"/>
    <mergeCell ref="B154:R154"/>
    <mergeCell ref="C116:R116"/>
    <mergeCell ref="C119:R119"/>
    <mergeCell ref="C122:R122"/>
    <mergeCell ref="C124:R124"/>
    <mergeCell ref="C109:R109"/>
    <mergeCell ref="D114:R114"/>
    <mergeCell ref="C105:R105"/>
    <mergeCell ref="C107:R107"/>
    <mergeCell ref="C110:R110"/>
    <mergeCell ref="C113:R113"/>
    <mergeCell ref="C117:R117"/>
    <mergeCell ref="C118:R118"/>
    <mergeCell ref="C131:R131"/>
    <mergeCell ref="C146:R146"/>
    <mergeCell ref="C150:R150"/>
    <mergeCell ref="B95:W95"/>
    <mergeCell ref="B96:W96"/>
    <mergeCell ref="T220:U220"/>
    <mergeCell ref="T221:U221"/>
    <mergeCell ref="C181:R181"/>
    <mergeCell ref="C152:R152"/>
    <mergeCell ref="C156:R156"/>
    <mergeCell ref="B36:R36"/>
    <mergeCell ref="B39:R39"/>
    <mergeCell ref="B44:R44"/>
    <mergeCell ref="B46:R46"/>
    <mergeCell ref="B54:R54"/>
    <mergeCell ref="B60:R60"/>
    <mergeCell ref="B79:R79"/>
    <mergeCell ref="B97:R97"/>
    <mergeCell ref="B101:R101"/>
    <mergeCell ref="C70:R70"/>
    <mergeCell ref="C72:R72"/>
    <mergeCell ref="C74:R74"/>
    <mergeCell ref="C76:R76"/>
    <mergeCell ref="C78:R78"/>
    <mergeCell ref="C80:R80"/>
    <mergeCell ref="C82:R82"/>
    <mergeCell ref="C98:R98"/>
    <mergeCell ref="C100:R100"/>
    <mergeCell ref="C66:R66"/>
    <mergeCell ref="T212:U212"/>
    <mergeCell ref="V208:W208"/>
    <mergeCell ref="V209:W209"/>
    <mergeCell ref="V210:W210"/>
    <mergeCell ref="V211:W211"/>
    <mergeCell ref="V212:W212"/>
    <mergeCell ref="T222:U222"/>
    <mergeCell ref="T223:U22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T214:U214"/>
    <mergeCell ref="T215:U215"/>
    <mergeCell ref="T216:U216"/>
    <mergeCell ref="T217:U217"/>
    <mergeCell ref="T218:U218"/>
    <mergeCell ref="T219:U219"/>
    <mergeCell ref="T182:U182"/>
    <mergeCell ref="V201:W201"/>
    <mergeCell ref="V202:W202"/>
    <mergeCell ref="V203:W203"/>
    <mergeCell ref="V204:W204"/>
    <mergeCell ref="V206:W206"/>
    <mergeCell ref="T198:U198"/>
    <mergeCell ref="T199:U199"/>
    <mergeCell ref="T200:U200"/>
    <mergeCell ref="T201:U201"/>
    <mergeCell ref="T202:U202"/>
    <mergeCell ref="T203:U203"/>
    <mergeCell ref="T204:U204"/>
    <mergeCell ref="T206:U206"/>
    <mergeCell ref="T205:U205"/>
    <mergeCell ref="V205:W205"/>
    <mergeCell ref="V193:W193"/>
    <mergeCell ref="V194:W194"/>
    <mergeCell ref="V195:W195"/>
    <mergeCell ref="V196:W196"/>
    <mergeCell ref="V182:W182"/>
    <mergeCell ref="T192:U192"/>
    <mergeCell ref="V192:W192"/>
    <mergeCell ref="T197:U197"/>
    <mergeCell ref="T173:U173"/>
    <mergeCell ref="T174:U174"/>
    <mergeCell ref="T175:U175"/>
    <mergeCell ref="T176:U176"/>
    <mergeCell ref="T177:U177"/>
    <mergeCell ref="T178:U178"/>
    <mergeCell ref="T179:U179"/>
    <mergeCell ref="T180:U180"/>
    <mergeCell ref="T181:U181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64:W164"/>
    <mergeCell ref="V165:W165"/>
    <mergeCell ref="V166:W166"/>
    <mergeCell ref="T168:U168"/>
    <mergeCell ref="T169:U169"/>
    <mergeCell ref="V168:W168"/>
    <mergeCell ref="V169:W169"/>
    <mergeCell ref="T171:U171"/>
    <mergeCell ref="T172:U172"/>
    <mergeCell ref="V171:W171"/>
    <mergeCell ref="V172:W172"/>
    <mergeCell ref="T170:U170"/>
    <mergeCell ref="V170:W170"/>
    <mergeCell ref="T165:U165"/>
    <mergeCell ref="T166:U166"/>
    <mergeCell ref="T167:U167"/>
    <mergeCell ref="V167:W167"/>
    <mergeCell ref="T155:U155"/>
    <mergeCell ref="T156:U156"/>
    <mergeCell ref="T157:U157"/>
    <mergeCell ref="V155:W155"/>
    <mergeCell ref="V156:W156"/>
    <mergeCell ref="V157:W157"/>
    <mergeCell ref="T159:U159"/>
    <mergeCell ref="T160:U160"/>
    <mergeCell ref="T161:U161"/>
    <mergeCell ref="V159:W159"/>
    <mergeCell ref="V160:W160"/>
    <mergeCell ref="V161:W161"/>
    <mergeCell ref="T136:U136"/>
    <mergeCell ref="T137:U137"/>
    <mergeCell ref="T138:U138"/>
    <mergeCell ref="T149:U149"/>
    <mergeCell ref="T150:U150"/>
    <mergeCell ref="T151:U151"/>
    <mergeCell ref="T152:U152"/>
    <mergeCell ref="T153:U153"/>
    <mergeCell ref="V149:W149"/>
    <mergeCell ref="V150:W150"/>
    <mergeCell ref="V151:W151"/>
    <mergeCell ref="V152:W152"/>
    <mergeCell ref="V153:W153"/>
    <mergeCell ref="T148:U148"/>
    <mergeCell ref="V148:W148"/>
    <mergeCell ref="T139:U139"/>
    <mergeCell ref="T140:U140"/>
    <mergeCell ref="T141:U141"/>
    <mergeCell ref="V128:W128"/>
    <mergeCell ref="V129:W129"/>
    <mergeCell ref="V130:W130"/>
    <mergeCell ref="T143:U143"/>
    <mergeCell ref="T144:U144"/>
    <mergeCell ref="T145:U145"/>
    <mergeCell ref="T146:U146"/>
    <mergeCell ref="V143:W143"/>
    <mergeCell ref="V144:W144"/>
    <mergeCell ref="V145:W145"/>
    <mergeCell ref="V146:W146"/>
    <mergeCell ref="V131:W131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T133:U133"/>
    <mergeCell ref="T134:U134"/>
    <mergeCell ref="T135:U135"/>
    <mergeCell ref="T98:U98"/>
    <mergeCell ref="T99:U99"/>
    <mergeCell ref="V98:W98"/>
    <mergeCell ref="V99:W99"/>
    <mergeCell ref="V102:W102"/>
    <mergeCell ref="T102:U102"/>
    <mergeCell ref="T104:U104"/>
    <mergeCell ref="T105:U105"/>
    <mergeCell ref="T106:U106"/>
    <mergeCell ref="V104:W104"/>
    <mergeCell ref="V105:W105"/>
    <mergeCell ref="V106:W106"/>
    <mergeCell ref="V87:W87"/>
    <mergeCell ref="V88:W88"/>
    <mergeCell ref="V89:W89"/>
    <mergeCell ref="V90:W90"/>
    <mergeCell ref="V91:W91"/>
    <mergeCell ref="V93:W93"/>
    <mergeCell ref="V92:W92"/>
    <mergeCell ref="V94:W94"/>
    <mergeCell ref="V80:W80"/>
    <mergeCell ref="V81:W81"/>
    <mergeCell ref="V82:W82"/>
    <mergeCell ref="V83:W83"/>
    <mergeCell ref="V84:W84"/>
    <mergeCell ref="V85:W85"/>
    <mergeCell ref="V86:W86"/>
    <mergeCell ref="T87:U87"/>
    <mergeCell ref="T88:U88"/>
    <mergeCell ref="T89:U89"/>
    <mergeCell ref="T90:U90"/>
    <mergeCell ref="T91:U91"/>
    <mergeCell ref="T93:U93"/>
    <mergeCell ref="T92:U92"/>
    <mergeCell ref="T94:U94"/>
    <mergeCell ref="T80:U80"/>
    <mergeCell ref="T81:U81"/>
    <mergeCell ref="T82:U82"/>
    <mergeCell ref="T83:U83"/>
    <mergeCell ref="T84:U84"/>
    <mergeCell ref="T85:U85"/>
    <mergeCell ref="T86:U86"/>
    <mergeCell ref="T76:U76"/>
    <mergeCell ref="T77:U77"/>
    <mergeCell ref="T78:U78"/>
    <mergeCell ref="V61:W61"/>
    <mergeCell ref="V62:W62"/>
    <mergeCell ref="V63:W63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T65:U65"/>
    <mergeCell ref="T66:U66"/>
    <mergeCell ref="T64:U64"/>
    <mergeCell ref="V64:W64"/>
    <mergeCell ref="V56:W56"/>
    <mergeCell ref="V57:W57"/>
    <mergeCell ref="V58:W58"/>
    <mergeCell ref="T61:U61"/>
    <mergeCell ref="T62:U62"/>
    <mergeCell ref="T63:U63"/>
    <mergeCell ref="B59:W59"/>
    <mergeCell ref="T74:U74"/>
    <mergeCell ref="T75:U75"/>
    <mergeCell ref="C68:R68"/>
    <mergeCell ref="C75:R75"/>
    <mergeCell ref="V50:W50"/>
    <mergeCell ref="V51:W51"/>
    <mergeCell ref="V52:W52"/>
    <mergeCell ref="V53:W53"/>
    <mergeCell ref="V45:W45"/>
    <mergeCell ref="T45:U45"/>
    <mergeCell ref="T47:U47"/>
    <mergeCell ref="T48:U48"/>
    <mergeCell ref="T49:U49"/>
    <mergeCell ref="T50:U50"/>
    <mergeCell ref="T51:U51"/>
    <mergeCell ref="T52:U52"/>
    <mergeCell ref="V197:W197"/>
    <mergeCell ref="T207:U207"/>
    <mergeCell ref="V207:W207"/>
    <mergeCell ref="T213:U213"/>
    <mergeCell ref="V213:W213"/>
    <mergeCell ref="T183:U183"/>
    <mergeCell ref="T184:U184"/>
    <mergeCell ref="T185:U185"/>
    <mergeCell ref="T186:U186"/>
    <mergeCell ref="T187:U187"/>
    <mergeCell ref="T188:U188"/>
    <mergeCell ref="T189:U189"/>
    <mergeCell ref="T190:U190"/>
    <mergeCell ref="T191:U191"/>
    <mergeCell ref="V183:W183"/>
    <mergeCell ref="V184:W184"/>
    <mergeCell ref="V185:W185"/>
    <mergeCell ref="V186:W186"/>
    <mergeCell ref="V187:W187"/>
    <mergeCell ref="T196:U196"/>
    <mergeCell ref="T208:U208"/>
    <mergeCell ref="T209:U209"/>
    <mergeCell ref="T210:U210"/>
    <mergeCell ref="T211:U211"/>
    <mergeCell ref="T37:U37"/>
    <mergeCell ref="T38:U38"/>
    <mergeCell ref="T111:U111"/>
    <mergeCell ref="V111:W111"/>
    <mergeCell ref="T121:U121"/>
    <mergeCell ref="V121:W121"/>
    <mergeCell ref="T101:U101"/>
    <mergeCell ref="V101:W101"/>
    <mergeCell ref="T55:U55"/>
    <mergeCell ref="T56:U56"/>
    <mergeCell ref="T57:U57"/>
    <mergeCell ref="T58:U58"/>
    <mergeCell ref="T60:U60"/>
    <mergeCell ref="V60:W60"/>
    <mergeCell ref="T79:U79"/>
    <mergeCell ref="V79:W79"/>
    <mergeCell ref="T97:U97"/>
    <mergeCell ref="V97:W97"/>
    <mergeCell ref="T112:U112"/>
    <mergeCell ref="T113:U113"/>
    <mergeCell ref="T114:U114"/>
    <mergeCell ref="T115:U115"/>
    <mergeCell ref="T116:U116"/>
    <mergeCell ref="T117:U117"/>
    <mergeCell ref="V108:W108"/>
    <mergeCell ref="T100:U100"/>
    <mergeCell ref="V100:W100"/>
    <mergeCell ref="V122:W122"/>
    <mergeCell ref="V123:W123"/>
    <mergeCell ref="V124:W124"/>
    <mergeCell ref="V125:W125"/>
    <mergeCell ref="V126:W126"/>
    <mergeCell ref="V127:W127"/>
    <mergeCell ref="T118:U118"/>
    <mergeCell ref="T119:U119"/>
    <mergeCell ref="V112:W112"/>
    <mergeCell ref="V113:W113"/>
    <mergeCell ref="V114:W114"/>
    <mergeCell ref="V115:W115"/>
    <mergeCell ref="V116:W116"/>
    <mergeCell ref="T107:U107"/>
    <mergeCell ref="V107:W107"/>
    <mergeCell ref="T109:U109"/>
    <mergeCell ref="T110:U110"/>
    <mergeCell ref="V109:W109"/>
    <mergeCell ref="V110:W110"/>
    <mergeCell ref="V33:W33"/>
    <mergeCell ref="V34:W34"/>
    <mergeCell ref="V35:W35"/>
    <mergeCell ref="T132:U132"/>
    <mergeCell ref="V132:W132"/>
    <mergeCell ref="T142:U142"/>
    <mergeCell ref="V142:W142"/>
    <mergeCell ref="V37:W37"/>
    <mergeCell ref="V38:W38"/>
    <mergeCell ref="T40:U40"/>
    <mergeCell ref="T41:U41"/>
    <mergeCell ref="T42:U42"/>
    <mergeCell ref="T43:U43"/>
    <mergeCell ref="V40:W40"/>
    <mergeCell ref="V41:W41"/>
    <mergeCell ref="V42:W42"/>
    <mergeCell ref="V43:W43"/>
    <mergeCell ref="T53:U53"/>
    <mergeCell ref="V47:W47"/>
    <mergeCell ref="V48:W48"/>
    <mergeCell ref="V49:W49"/>
    <mergeCell ref="T103:U103"/>
    <mergeCell ref="V103:W103"/>
    <mergeCell ref="T108:U108"/>
    <mergeCell ref="V54:W54"/>
    <mergeCell ref="C93:R93"/>
    <mergeCell ref="T67:U67"/>
    <mergeCell ref="T68:U68"/>
    <mergeCell ref="T69:U69"/>
    <mergeCell ref="T70:U70"/>
    <mergeCell ref="B20:C20"/>
    <mergeCell ref="H20:W20"/>
    <mergeCell ref="B21:C21"/>
    <mergeCell ref="H21:W21"/>
    <mergeCell ref="B22:F22"/>
    <mergeCell ref="H22:W22"/>
    <mergeCell ref="B23:F25"/>
    <mergeCell ref="H23:W23"/>
    <mergeCell ref="H24:W24"/>
    <mergeCell ref="H25:W25"/>
    <mergeCell ref="T31:U31"/>
    <mergeCell ref="T32:U32"/>
    <mergeCell ref="T33:U33"/>
    <mergeCell ref="T34:U34"/>
    <mergeCell ref="T35:U35"/>
    <mergeCell ref="V30:W30"/>
    <mergeCell ref="V31:W31"/>
    <mergeCell ref="V32:W32"/>
    <mergeCell ref="B26:W26"/>
    <mergeCell ref="C85:R85"/>
    <mergeCell ref="C87:R87"/>
    <mergeCell ref="C89:R89"/>
    <mergeCell ref="T71:U71"/>
    <mergeCell ref="T72:U72"/>
    <mergeCell ref="T73:U73"/>
    <mergeCell ref="V55:W55"/>
    <mergeCell ref="T28:U28"/>
    <mergeCell ref="V28:W28"/>
    <mergeCell ref="T36:U36"/>
    <mergeCell ref="V36:W36"/>
    <mergeCell ref="T39:U39"/>
    <mergeCell ref="V39:W39"/>
    <mergeCell ref="T44:U44"/>
    <mergeCell ref="V44:W44"/>
    <mergeCell ref="T46:U46"/>
    <mergeCell ref="V46:W46"/>
    <mergeCell ref="T30:U30"/>
    <mergeCell ref="B27:W27"/>
    <mergeCell ref="B28:R28"/>
    <mergeCell ref="T29:U29"/>
    <mergeCell ref="V29:W29"/>
    <mergeCell ref="T54:U54"/>
    <mergeCell ref="B17:C17"/>
    <mergeCell ref="H17:W17"/>
    <mergeCell ref="B18:C18"/>
    <mergeCell ref="H18:W18"/>
    <mergeCell ref="B12:C12"/>
    <mergeCell ref="H12:W12"/>
    <mergeCell ref="B13:C13"/>
    <mergeCell ref="B19:C19"/>
    <mergeCell ref="H19:W19"/>
    <mergeCell ref="B15:C15"/>
    <mergeCell ref="H15:W15"/>
    <mergeCell ref="B16:C16"/>
    <mergeCell ref="T131:U131"/>
    <mergeCell ref="T162:U162"/>
    <mergeCell ref="B2:T2"/>
    <mergeCell ref="U2:W2"/>
    <mergeCell ref="B3:C3"/>
    <mergeCell ref="G3:W3"/>
    <mergeCell ref="B4:C4"/>
    <mergeCell ref="H4:W4"/>
    <mergeCell ref="H13:W13"/>
    <mergeCell ref="B14:C14"/>
    <mergeCell ref="H14:W14"/>
    <mergeCell ref="H8:W8"/>
    <mergeCell ref="E3:F3"/>
    <mergeCell ref="B5:C5"/>
    <mergeCell ref="H5:W5"/>
    <mergeCell ref="B6:C6"/>
    <mergeCell ref="H6:W6"/>
    <mergeCell ref="B7:C7"/>
    <mergeCell ref="H7:W7"/>
    <mergeCell ref="H10:W10"/>
    <mergeCell ref="B8:C8"/>
    <mergeCell ref="B11:C11"/>
    <mergeCell ref="H11:W11"/>
    <mergeCell ref="H16:W16"/>
    <mergeCell ref="V162:W162"/>
    <mergeCell ref="T164:U164"/>
    <mergeCell ref="T154:U154"/>
    <mergeCell ref="B9:C9"/>
    <mergeCell ref="H9:W9"/>
    <mergeCell ref="B10:C10"/>
    <mergeCell ref="V154:W154"/>
    <mergeCell ref="T158:U158"/>
    <mergeCell ref="V158:W158"/>
    <mergeCell ref="T163:U163"/>
    <mergeCell ref="V163:W163"/>
    <mergeCell ref="V117:W117"/>
    <mergeCell ref="V118:W118"/>
    <mergeCell ref="V119:W119"/>
    <mergeCell ref="T122:U122"/>
    <mergeCell ref="T123:U123"/>
    <mergeCell ref="T124:U124"/>
    <mergeCell ref="T125:U125"/>
    <mergeCell ref="T126:U126"/>
    <mergeCell ref="B120:W120"/>
    <mergeCell ref="T127:U127"/>
    <mergeCell ref="T128:U128"/>
    <mergeCell ref="T129:U129"/>
    <mergeCell ref="T130:U130"/>
  </mergeCells>
  <phoneticPr fontId="15" type="noConversion"/>
  <dataValidations disablePrompts="1" count="13">
    <dataValidation type="list" allowBlank="1" showInputMessage="1" showErrorMessage="1" sqref="D7" xr:uid="{55CB0943-388B-4346-B8A6-6BDB5FEF49C3}">
      <formula1>"CAD, ISG"</formula1>
    </dataValidation>
    <dataValidation type="list" allowBlank="1" showInputMessage="1" showErrorMessage="1" sqref="D9" xr:uid="{671232B6-D958-45EB-80BF-A13F28231CC9}">
      <formula1>"2, 4, 6, 8, 10, 12"</formula1>
    </dataValidation>
    <dataValidation type="list" allowBlank="1" showInputMessage="1" showErrorMessage="1" sqref="D10" xr:uid="{AFBD481D-0477-41D8-B4C0-2DD80FB81D9B}">
      <formula1>"2, 3, 4"</formula1>
    </dataValidation>
    <dataValidation type="list" allowBlank="1" showInputMessage="1" showErrorMessage="1" sqref="D12" xr:uid="{F565250F-FCE3-495C-9766-74FF97C3AD9F}">
      <formula1>"NONE, LEFT, RIGHT, CENTER"</formula1>
    </dataValidation>
    <dataValidation type="list" allowBlank="1" showInputMessage="1" showErrorMessage="1" sqref="D8" xr:uid="{99A7A390-5E20-41F6-838A-A3EC659155F3}">
      <formula1>"STANDARD, STACKED, TIERED, MULTI TUNNEL"</formula1>
    </dataValidation>
    <dataValidation type="list" allowBlank="1" showInputMessage="1" showErrorMessage="1" sqref="D16" xr:uid="{A42059A4-35B0-4252-9E83-F9DC1080229F}">
      <formula1>"Indoor, Outdoor"</formula1>
    </dataValidation>
    <dataValidation type="list" allowBlank="1" showInputMessage="1" showErrorMessage="1" sqref="F19:F20" xr:uid="{53FBEC5B-18EE-403C-A6FD-4AABEA6F6A37}">
      <formula1>"16, 18, 20, 22, .040, .050"</formula1>
    </dataValidation>
    <dataValidation type="list" allowBlank="1" showInputMessage="1" showErrorMessage="1" sqref="F21" xr:uid="{A6772144-BA74-4C03-B5F7-A62F5052E4F3}">
      <formula1>"16, 18, .125"", .188"""</formula1>
    </dataValidation>
    <dataValidation type="list" allowBlank="1" showInputMessage="1" showErrorMessage="1" sqref="D19" xr:uid="{6F470F96-3289-4EFB-9E5C-223ACD0FFAA5}">
      <formula1>"STL GALV, SST304, SST316, SST316L, ALUM SHT, GALV PERF, ALUM PERF"</formula1>
    </dataValidation>
    <dataValidation type="list" allowBlank="1" showInputMessage="1" showErrorMessage="1" sqref="D20" xr:uid="{C6084528-00F3-418A-BDC7-C11B4C673F4F}">
      <formula1>"STL GALV, STL GALV PPC, SST304, SST304L, SST316L, ALUM SHT, ALUM EMB"</formula1>
    </dataValidation>
    <dataValidation type="list" allowBlank="1" showInputMessage="1" showErrorMessage="1" sqref="D21" xr:uid="{97708820-61D8-48BA-85F8-EEB2DA7A6A13}">
      <formula1>"STL GALV, SST304, SST316, SST TREAD PLATE, ALUM TREAD PLATE"</formula1>
    </dataValidation>
    <dataValidation type="list" allowBlank="1" showInputMessage="1" showErrorMessage="1" sqref="D11" xr:uid="{975FFDDB-FE81-4054-851A-A526F88F9AFC}">
      <formula1>"NO, YES, ULTRA THERMAL BREAK, MODIFIED"</formula1>
    </dataValidation>
    <dataValidation type="list" allowBlank="1" showInputMessage="1" showErrorMessage="1" sqref="D13:D15 D17:D18 D3" xr:uid="{E2B53907-4834-4438-9D6A-569F62868DEA}">
      <formula1>#REF!</formula1>
    </dataValidation>
  </dataValidations>
  <printOptions horizontalCentered="1"/>
  <pageMargins left="0.25" right="0.25" top="0.25" bottom="0.25" header="0" footer="0"/>
  <pageSetup scale="72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F795-89BB-46A6-B080-6DEB28B859B5}">
  <sheetPr codeName="Sheet5"/>
  <dimension ref="A1:C22"/>
  <sheetViews>
    <sheetView workbookViewId="0">
      <selection activeCell="B2" sqref="B2:C2"/>
    </sheetView>
  </sheetViews>
  <sheetFormatPr defaultColWidth="9.140625" defaultRowHeight="15" customHeight="1" x14ac:dyDescent="0.25"/>
  <cols>
    <col min="1" max="1" width="34.140625" bestFit="1" customWidth="1"/>
    <col min="2" max="3" width="13" customWidth="1"/>
    <col min="5" max="20" width="9.140625" customWidth="1"/>
    <col min="23" max="23" width="9.140625" customWidth="1"/>
  </cols>
  <sheetData>
    <row r="1" spans="1:3" ht="15" customHeight="1" thickBot="1" x14ac:dyDescent="0.3">
      <c r="A1" s="147" t="s">
        <v>37</v>
      </c>
      <c r="B1" s="148"/>
      <c r="C1" s="150"/>
    </row>
    <row r="2" spans="1:3" ht="15" customHeight="1" thickBot="1" x14ac:dyDescent="0.3">
      <c r="A2" s="16" t="s">
        <v>35</v>
      </c>
      <c r="B2" s="151" t="str">
        <f>IF(ISBLANK('Verification List'!D3)," ",'Verification List'!D3)</f>
        <v xml:space="preserve"> </v>
      </c>
      <c r="C2" s="152"/>
    </row>
    <row r="3" spans="1:3" ht="15" customHeight="1" thickBot="1" x14ac:dyDescent="0.3">
      <c r="A3" s="16" t="s">
        <v>34</v>
      </c>
      <c r="B3" s="153" t="str">
        <f>IF(ISBLANK('Verification List'!D6)," ",'Verification List'!D6)</f>
        <v xml:space="preserve"> </v>
      </c>
      <c r="C3" s="154"/>
    </row>
    <row r="4" spans="1:3" ht="15" customHeight="1" thickBot="1" x14ac:dyDescent="0.3">
      <c r="A4" s="16" t="s">
        <v>36</v>
      </c>
      <c r="B4" s="153"/>
      <c r="C4" s="154"/>
    </row>
    <row r="5" spans="1:3" ht="15" customHeight="1" thickBot="1" x14ac:dyDescent="0.3">
      <c r="A5" s="17" t="s">
        <v>33</v>
      </c>
      <c r="B5" s="151"/>
      <c r="C5" s="152"/>
    </row>
    <row r="6" spans="1:3" ht="15" customHeight="1" thickBot="1" x14ac:dyDescent="0.3">
      <c r="A6" s="147" t="s">
        <v>32</v>
      </c>
      <c r="B6" s="148"/>
      <c r="C6" s="149"/>
    </row>
    <row r="7" spans="1:3" ht="15" customHeight="1" x14ac:dyDescent="0.25">
      <c r="A7" s="11" t="s">
        <v>31</v>
      </c>
      <c r="B7" s="16" t="s">
        <v>30</v>
      </c>
      <c r="C7" s="11" t="s">
        <v>29</v>
      </c>
    </row>
    <row r="8" spans="1:3" ht="15" customHeight="1" thickBot="1" x14ac:dyDescent="0.3">
      <c r="A8" s="11" t="s">
        <v>28</v>
      </c>
      <c r="B8" s="15">
        <f>Base!F1</f>
        <v>0</v>
      </c>
      <c r="C8" s="14">
        <f>Base!D1</f>
        <v>0</v>
      </c>
    </row>
    <row r="9" spans="1:3" ht="15" customHeight="1" thickBot="1" x14ac:dyDescent="0.3">
      <c r="A9" s="11" t="s">
        <v>27</v>
      </c>
      <c r="B9" s="15">
        <f>'Drain Pan'!F1</f>
        <v>0</v>
      </c>
      <c r="C9" s="14">
        <f>'Drain Pan'!D1</f>
        <v>0</v>
      </c>
    </row>
    <row r="10" spans="1:3" ht="15" customHeight="1" thickBot="1" x14ac:dyDescent="0.3">
      <c r="A10" s="11" t="s">
        <v>26</v>
      </c>
      <c r="B10" s="15">
        <f>Housing!F1</f>
        <v>0</v>
      </c>
      <c r="C10" s="14">
        <f>Housing!D1</f>
        <v>0</v>
      </c>
    </row>
    <row r="11" spans="1:3" ht="15" customHeight="1" thickBot="1" x14ac:dyDescent="0.3">
      <c r="A11" s="11" t="s">
        <v>25</v>
      </c>
      <c r="B11" s="15">
        <f>Paperwork!F1</f>
        <v>0</v>
      </c>
      <c r="C11" s="14">
        <f>Paperwork!D1</f>
        <v>0</v>
      </c>
    </row>
    <row r="12" spans="1:3" ht="15" customHeight="1" thickBot="1" x14ac:dyDescent="0.3">
      <c r="A12" s="11" t="s">
        <v>82</v>
      </c>
      <c r="B12" s="15">
        <f>Internal!F1</f>
        <v>0</v>
      </c>
      <c r="C12" s="14">
        <f>Internal!D1</f>
        <v>0</v>
      </c>
    </row>
    <row r="13" spans="1:3" ht="15" customHeight="1" thickBot="1" x14ac:dyDescent="0.3">
      <c r="A13" s="11" t="s">
        <v>24</v>
      </c>
      <c r="B13" s="15">
        <f>'Coil Panels'!F1</f>
        <v>0</v>
      </c>
      <c r="C13" s="14">
        <f>'Coil Panels'!D1</f>
        <v>0</v>
      </c>
    </row>
    <row r="14" spans="1:3" ht="15" customHeight="1" thickBot="1" x14ac:dyDescent="0.3">
      <c r="A14" s="11" t="s">
        <v>23</v>
      </c>
      <c r="B14" s="15">
        <f>Reconnects!F1</f>
        <v>0</v>
      </c>
      <c r="C14" s="14">
        <f>Reconnects!D1</f>
        <v>0</v>
      </c>
    </row>
    <row r="15" spans="1:3" ht="15" customHeight="1" thickBot="1" x14ac:dyDescent="0.3">
      <c r="A15" s="11" t="s">
        <v>22</v>
      </c>
      <c r="B15" s="13">
        <f>MOM!F1</f>
        <v>0</v>
      </c>
      <c r="C15" s="12">
        <f>MOM!D1</f>
        <v>0</v>
      </c>
    </row>
    <row r="16" spans="1:3" ht="14.25" customHeight="1" thickBot="1" x14ac:dyDescent="0.3">
      <c r="A16" s="11" t="s">
        <v>21</v>
      </c>
      <c r="B16" s="8">
        <f>SUM(B8:B15)</f>
        <v>0</v>
      </c>
      <c r="C16" s="7">
        <f>SUM(C8:C15)</f>
        <v>0</v>
      </c>
    </row>
    <row r="17" spans="1:3" ht="5.25" customHeight="1" thickBot="1" x14ac:dyDescent="0.35">
      <c r="A17" s="10"/>
      <c r="B17" s="10"/>
      <c r="C17" s="10"/>
    </row>
    <row r="18" spans="1:3" ht="15" customHeight="1" thickBot="1" x14ac:dyDescent="0.3">
      <c r="A18" s="9" t="s">
        <v>20</v>
      </c>
      <c r="B18" s="155">
        <f>COUNTA('Verification List'!X5:X131)</f>
        <v>0</v>
      </c>
      <c r="C18" s="156"/>
    </row>
    <row r="19" spans="1:3" ht="15" customHeight="1" thickBot="1" x14ac:dyDescent="0.3">
      <c r="A19" s="9" t="s">
        <v>81</v>
      </c>
      <c r="B19" s="155">
        <f>Base!H1+'Drain Pan'!H1+Housing!H1+Paperwork!H1+Internal!H1+'Coil Panels'!H1+Reconnects!H1+MOM!H1</f>
        <v>0</v>
      </c>
      <c r="C19" s="156"/>
    </row>
    <row r="20" spans="1:3" ht="15" customHeight="1" thickBot="1" x14ac:dyDescent="0.3">
      <c r="A20" s="9" t="s">
        <v>83</v>
      </c>
      <c r="B20" s="155">
        <f>Base!J1+Housing!J1+Paperwork!J1</f>
        <v>0</v>
      </c>
      <c r="C20" s="156"/>
    </row>
    <row r="21" spans="1:3" ht="15" customHeight="1" thickBot="1" x14ac:dyDescent="0.3">
      <c r="A21" s="9" t="s">
        <v>87</v>
      </c>
      <c r="B21" s="155"/>
      <c r="C21" s="156"/>
    </row>
    <row r="22" spans="1:3" ht="15" customHeight="1" thickBot="1" x14ac:dyDescent="0.3">
      <c r="A22" s="9" t="s">
        <v>88</v>
      </c>
      <c r="B22" s="155"/>
      <c r="C22" s="156"/>
    </row>
  </sheetData>
  <mergeCells count="11">
    <mergeCell ref="B21:C21"/>
    <mergeCell ref="B22:C22"/>
    <mergeCell ref="B19:C19"/>
    <mergeCell ref="B20:C20"/>
    <mergeCell ref="B18:C18"/>
    <mergeCell ref="A6:C6"/>
    <mergeCell ref="A1:C1"/>
    <mergeCell ref="B2:C2"/>
    <mergeCell ref="B5:C5"/>
    <mergeCell ref="B4:C4"/>
    <mergeCell ref="B3:C3"/>
  </mergeCells>
  <dataValidations count="1">
    <dataValidation type="list" allowBlank="1" showInputMessage="1" showErrorMessage="1" sqref="B4:C4" xr:uid="{93010E69-7E18-42CE-8F45-C0601C6F6548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E25B-B88E-4485-BE52-2E341A56FF5F}">
  <sheetPr codeName="Sheet6"/>
  <dimension ref="A1:B3"/>
  <sheetViews>
    <sheetView workbookViewId="0">
      <selection activeCell="B4" sqref="B4"/>
    </sheetView>
  </sheetViews>
  <sheetFormatPr defaultColWidth="9.140625" defaultRowHeight="15" customHeight="1" x14ac:dyDescent="0.3"/>
  <cols>
    <col min="1" max="1" width="23.5703125" style="25" bestFit="1" customWidth="1"/>
    <col min="2" max="2" width="15.7109375" style="24" customWidth="1"/>
    <col min="3" max="16384" width="9.140625" style="23"/>
  </cols>
  <sheetData>
    <row r="1" spans="1:2" ht="19.5" thickBot="1" x14ac:dyDescent="0.35">
      <c r="A1" s="27" t="s">
        <v>74</v>
      </c>
      <c r="B1" s="28" t="s">
        <v>48</v>
      </c>
    </row>
    <row r="2" spans="1:2" ht="18.75" x14ac:dyDescent="0.3">
      <c r="A2" s="27"/>
      <c r="B2" s="26" t="s">
        <v>73</v>
      </c>
    </row>
    <row r="3" spans="1:2" ht="15" customHeight="1" x14ac:dyDescent="0.3">
      <c r="B3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A226-F944-46CF-8C4B-1C183FD80DB3}">
  <sheetPr codeName="Sheet7"/>
  <dimension ref="A1:J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8" width="9.140625" style="29" customWidth="1"/>
    <col min="9" max="9" width="26.5703125" style="29" bestFit="1" customWidth="1"/>
    <col min="10" max="16384" width="9.140625" style="29"/>
  </cols>
  <sheetData>
    <row r="1" spans="1:10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  <c r="I1" s="33" t="s">
        <v>85</v>
      </c>
      <c r="J1" s="32">
        <v>0</v>
      </c>
    </row>
    <row r="2" spans="1:10" ht="18.75" x14ac:dyDescent="0.3">
      <c r="A2" s="31"/>
      <c r="B2" s="59"/>
    </row>
    <row r="3" spans="1:10" ht="18.75" x14ac:dyDescent="0.3">
      <c r="A3" s="31"/>
      <c r="B3" s="59"/>
      <c r="C3" s="29" t="s">
        <v>75</v>
      </c>
    </row>
  </sheetData>
  <conditionalFormatting sqref="B2:B200">
    <cfRule type="notContainsBlanks" dxfId="7" priority="1">
      <formula>LEN(TRIM(B2))&gt;0</formula>
    </cfRule>
  </conditionalFormatting>
  <dataValidations count="1">
    <dataValidation type="list" allowBlank="1" showInputMessage="1" showErrorMessage="1" sqref="B2:B1048576" xr:uid="{020B0C6D-201C-4365-930A-93D80076F2EE}">
      <formula1>"DR, DVL, DR/DVL"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1CD8-F2B5-4014-B54B-1D9D75B0D042}">
  <sheetPr codeName="Sheet8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6" priority="1">
      <formula>LEN(TRIM(B2))&gt;0</formula>
    </cfRule>
  </conditionalFormatting>
  <dataValidations count="1">
    <dataValidation type="list" allowBlank="1" showInputMessage="1" showErrorMessage="1" sqref="B2:B1048576" xr:uid="{8E843FC7-F80D-43F1-8F24-2354D4D59960}">
      <formula1>"DR, DVL, DR/DVL"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42CF-025D-46D9-8F5C-E0F22DA25BE9}">
  <sheetPr codeName="Sheet9"/>
  <dimension ref="A1:J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8" width="9.140625" style="29"/>
    <col min="9" max="9" width="26.5703125" style="29" bestFit="1" customWidth="1"/>
    <col min="10" max="16384" width="9.140625" style="29"/>
  </cols>
  <sheetData>
    <row r="1" spans="1:10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  <c r="I1" s="33" t="s">
        <v>85</v>
      </c>
      <c r="J1" s="32">
        <v>0</v>
      </c>
    </row>
    <row r="2" spans="1:10" ht="18.75" x14ac:dyDescent="0.3">
      <c r="A2" s="31"/>
      <c r="B2" s="59"/>
    </row>
    <row r="3" spans="1:10" ht="18.75" x14ac:dyDescent="0.3">
      <c r="A3" s="31"/>
      <c r="B3" s="59"/>
      <c r="C3" s="29" t="s">
        <v>75</v>
      </c>
    </row>
  </sheetData>
  <conditionalFormatting sqref="B2:B200">
    <cfRule type="notContainsBlanks" dxfId="5" priority="1">
      <formula>LEN(TRIM(B2))&gt;0</formula>
    </cfRule>
  </conditionalFormatting>
  <dataValidations count="1">
    <dataValidation type="list" allowBlank="1" showInputMessage="1" showErrorMessage="1" sqref="B2:B1048576" xr:uid="{6953490E-D87E-4170-B54F-D1180219986F}">
      <formula1>"DR, DVL, DR/DVL"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D3E2-5B91-462A-BFA4-E3F78ACADE11}">
  <sheetPr codeName="Sheet10"/>
  <dimension ref="A1:J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8" width="9.140625" style="29"/>
    <col min="9" max="9" width="26.5703125" style="29" bestFit="1" customWidth="1"/>
    <col min="10" max="16384" width="9.140625" style="29"/>
  </cols>
  <sheetData>
    <row r="1" spans="1:10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  <c r="I1" s="33" t="s">
        <v>85</v>
      </c>
      <c r="J1" s="32">
        <v>0</v>
      </c>
    </row>
    <row r="2" spans="1:10" ht="18.75" x14ac:dyDescent="0.3">
      <c r="A2" s="31"/>
      <c r="B2" s="59"/>
    </row>
    <row r="3" spans="1:10" ht="18.75" x14ac:dyDescent="0.3">
      <c r="A3" s="31"/>
      <c r="B3" s="59"/>
      <c r="C3" s="29" t="s">
        <v>75</v>
      </c>
    </row>
  </sheetData>
  <conditionalFormatting sqref="B2:B200">
    <cfRule type="notContainsBlanks" dxfId="4" priority="1">
      <formula>LEN(TRIM(B2))&gt;0</formula>
    </cfRule>
  </conditionalFormatting>
  <dataValidations count="1">
    <dataValidation type="list" allowBlank="1" showInputMessage="1" showErrorMessage="1" sqref="B2:B1048576" xr:uid="{1A630B01-F045-43E1-A55B-BB5BB29E4AD2}">
      <formula1>"DR, DVL, DR/DVL"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E449-D3C3-42CE-B401-3C64464A5CE4}">
  <sheetPr codeName="Sheet11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3" priority="1">
      <formula>LEN(TRIM(B2))&gt;0</formula>
    </cfRule>
  </conditionalFormatting>
  <dataValidations count="1">
    <dataValidation type="list" allowBlank="1" showInputMessage="1" showErrorMessage="1" sqref="B2:B1048576" xr:uid="{6DA8E42C-341D-40F7-88AF-34EEEDF1D478}">
      <formula1>"DR, DVL, DR/DVL"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9099-16B8-4512-BBC2-5B46383B42CA}">
  <sheetPr codeName="Sheet12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2" priority="1">
      <formula>LEN(TRIM(B2))&gt;0</formula>
    </cfRule>
  </conditionalFormatting>
  <dataValidations count="1">
    <dataValidation type="list" allowBlank="1" showInputMessage="1" showErrorMessage="1" sqref="B2:B1048576" xr:uid="{C4A4F594-95B9-4CB2-A263-9810F81D24E8}">
      <formula1>"DR, DVL, DR/DVL"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AB3C-C16E-4A95-A5E1-794D41CCB2A1}">
  <sheetPr codeName="Sheet13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1" priority="1">
      <formula>LEN(TRIM(B2))&gt;0</formula>
    </cfRule>
  </conditionalFormatting>
  <dataValidations count="1">
    <dataValidation type="list" allowBlank="1" showInputMessage="1" showErrorMessage="1" sqref="B2:B1048576" xr:uid="{B53A21E7-AE06-4B89-9B25-C7BCF8E4D1CF}">
      <formula1>"DR, DVL, DR/DVL"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431C-DA70-40C5-8D5C-3B91E69DA685}">
  <sheetPr codeName="Sheet14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0" priority="1">
      <formula>LEN(TRIM(B2))&gt;0</formula>
    </cfRule>
  </conditionalFormatting>
  <dataValidations count="1">
    <dataValidation type="list" allowBlank="1" showInputMessage="1" showErrorMessage="1" sqref="B2:B1048576" xr:uid="{CD1F5ADD-672F-4116-B1CC-14FB42E5B150}">
      <formula1>"DR, DVL, DR/DVL"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stSharedByUser xmlns="a0406f45-214a-4c10-9c24-47aacf226eb9" xsi:nil="true"/>
    <DLCPolicyLabelLock xmlns="fc3bf540-0290-486b-aa19-d4dde3fb2be5" xsi:nil="true"/>
    <LastSharedByTime xmlns="a0406f45-214a-4c10-9c24-47aacf226eb9" xsi:nil="true"/>
    <SharedWithDetails xmlns="8f301688-4183-4a61-8a8a-a1678bb8a797" xsi:nil="true"/>
    <DLCPolicyLabelValue xmlns="fc3bf540-0290-486b-aa19-d4dde3fb2be5" xsi:nil="true"/>
    <Document_x0020__x0023_ xmlns="3286e7a0-361e-474e-83c9-69ec604deab8">01</Document_x0020__x0023_>
    <DLCPolicyLabelClientValue xmlns="fc3bf540-0290-486b-aa19-d4dde3fb2be5" xsi:nil="true"/>
    <k01328dce2984ad0aad66c8c14967cbd xmlns="3fa0eae5-8244-4c98-a1cf-63cf3db0c3f7">
      <Terms xmlns="http://schemas.microsoft.com/office/infopath/2007/PartnerControls">
        <TermInfo xmlns="http://schemas.microsoft.com/office/infopath/2007/PartnerControls">
          <TermName xmlns="http://schemas.microsoft.com/office/infopath/2007/PartnerControls">07 - Standard Process / Forms</TermName>
          <TermId xmlns="http://schemas.microsoft.com/office/infopath/2007/PartnerControls">7f17f206-2358-4f11-9fcd-fd0064e044d4</TermId>
        </TermInfo>
      </Terms>
    </k01328dce2984ad0aad66c8c14967cbd>
    <SharedWithUsers xmlns="8f301688-4183-4a61-8a8a-a1678bb8a797">
      <UserInfo>
        <DisplayName/>
        <AccountId xsi:nil="true"/>
        <AccountType/>
      </UserInfo>
    </SharedWithUsers>
    <TaxCatchAll xmlns="e3e2664a-4298-401e-9fa6-8f5325dd2938">
      <Value>742</Value>
    </TaxCatchAl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it Manual Excel" ma:contentTypeID="0x010100283730DD52FAF5479A2C62D263CA81D600BDF0E2C1A6DA0143888BF32C8D868A32" ma:contentTypeVersion="20" ma:contentTypeDescription="" ma:contentTypeScope="" ma:versionID="32832e4e5008eea55ab3e4957ab8dd8d">
  <xsd:schema xmlns:xsd="http://www.w3.org/2001/XMLSchema" xmlns:xs="http://www.w3.org/2001/XMLSchema" xmlns:p="http://schemas.microsoft.com/office/2006/metadata/properties" xmlns:ns1="http://schemas.microsoft.com/sharepoint/v3" xmlns:ns2="3286e7a0-361e-474e-83c9-69ec604deab8" xmlns:ns3="fc3bf540-0290-486b-aa19-d4dde3fb2be5" xmlns:ns4="8f301688-4183-4a61-8a8a-a1678bb8a797" xmlns:ns5="a0406f45-214a-4c10-9c24-47aacf226eb9" xmlns:ns6="3fa0eae5-8244-4c98-a1cf-63cf3db0c3f7" xmlns:ns7="e3e2664a-4298-401e-9fa6-8f5325dd2938" targetNamespace="http://schemas.microsoft.com/office/2006/metadata/properties" ma:root="true" ma:fieldsID="94fe76340bc5fca4b0fadeedeb32db7d" ns1:_="" ns2:_="" ns3:_="" ns4:_="" ns5:_="" ns6:_="" ns7:_="">
    <xsd:import namespace="http://schemas.microsoft.com/sharepoint/v3"/>
    <xsd:import namespace="3286e7a0-361e-474e-83c9-69ec604deab8"/>
    <xsd:import namespace="fc3bf540-0290-486b-aa19-d4dde3fb2be5"/>
    <xsd:import namespace="8f301688-4183-4a61-8a8a-a1678bb8a797"/>
    <xsd:import namespace="a0406f45-214a-4c10-9c24-47aacf226eb9"/>
    <xsd:import namespace="3fa0eae5-8244-4c98-a1cf-63cf3db0c3f7"/>
    <xsd:import namespace="e3e2664a-4298-401e-9fa6-8f5325dd2938"/>
    <xsd:element name="properties">
      <xsd:complexType>
        <xsd:sequence>
          <xsd:element name="documentManagement">
            <xsd:complexType>
              <xsd:all>
                <xsd:element ref="ns2:Document_x0020__x0023_"/>
                <xsd:element ref="ns1:_dlc_Exempt" minOccurs="0"/>
                <xsd:element ref="ns3:DLCPolicyLabelValue" minOccurs="0"/>
                <xsd:element ref="ns3:DLCPolicyLabelClientValue" minOccurs="0"/>
                <xsd:element ref="ns3:DLCPolicyLabelLock" minOccurs="0"/>
                <xsd:element ref="ns4:SharedWithUsers" minOccurs="0"/>
                <xsd:element ref="ns4:SharedWithDetails" minOccurs="0"/>
                <xsd:element ref="ns5:LastSharedByUser" minOccurs="0"/>
                <xsd:element ref="ns5:LastSharedByTime" minOccurs="0"/>
                <xsd:element ref="ns3:MediaServiceEventHashCode" minOccurs="0"/>
                <xsd:element ref="ns3:MediaServiceGenerationTime" minOccurs="0"/>
                <xsd:element ref="ns6:k01328dce2984ad0aad66c8c14967cbd" minOccurs="0"/>
                <xsd:element ref="ns7:TaxCatchAll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7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6e7a0-361e-474e-83c9-69ec604deab8" elementFormDefault="qualified">
    <xsd:import namespace="http://schemas.microsoft.com/office/2006/documentManagement/types"/>
    <xsd:import namespace="http://schemas.microsoft.com/office/infopath/2007/PartnerControls"/>
    <xsd:element name="Document_x0020__x0023_" ma:index="1" ma:displayName="Document #" ma:description="Type in the Document # (e.g. 001)" ma:internalName="Document_x0020__x0023_" ma:readOnly="false">
      <xsd:simpleType>
        <xsd:restriction base="dms:Text">
          <xsd:maxLength value="1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bf540-0290-486b-aa19-d4dde3fb2be5" elementFormDefault="qualified">
    <xsd:import namespace="http://schemas.microsoft.com/office/2006/documentManagement/types"/>
    <xsd:import namespace="http://schemas.microsoft.com/office/infopath/2007/PartnerControls"/>
    <xsd:element name="DLCPolicyLabelValue" ma:index="8" nillable="true" ma:displayName="Label" ma:description="Stores the current value of the label." ma:internalName="DLCPolicyLabelValue" ma:readOnly="false">
      <xsd:simpleType>
        <xsd:restriction base="dms:Note">
          <xsd:maxLength value="255"/>
        </xsd:restriction>
      </xsd:simpleType>
    </xsd:element>
    <xsd:element name="DLCPolicyLabelClientValue" ma:index="9" nillable="true" ma:displayName="Client Label Value" ma:description="Stores the last label value computed on the client." ma:hidden="true" ma:internalName="DLCPolicyLabelClientValue" ma:readOnly="false">
      <xsd:simpleType>
        <xsd:restriction base="dms:Note"/>
      </xsd:simpleType>
    </xsd:element>
    <xsd:element name="DLCPolicyLabelLock" ma:index="10" nillable="true" ma:displayName="Label Locked" ma:description="Indicates whether the label should be updated when item properties are modified." ma:hidden="true" ma:internalName="DLCPolicyLabelLock" ma:readOnly="fals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01688-4183-4a61-8a8a-a1678bb8a79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description="" ma:internalName="SharedWithUs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06f45-214a-4c10-9c24-47aacf226eb9" elementFormDefault="qualified">
    <xsd:import namespace="http://schemas.microsoft.com/office/2006/documentManagement/types"/>
    <xsd:import namespace="http://schemas.microsoft.com/office/infopath/2007/PartnerControls"/>
    <xsd:element name="LastSharedByUser" ma:index="15" nillable="true" ma:displayName="Last Shared By User" ma:internalName="LastSharedByUser" ma:readOnly="false">
      <xsd:simpleType>
        <xsd:restriction base="dms:Note">
          <xsd:maxLength value="255"/>
        </xsd:restriction>
      </xsd:simpleType>
    </xsd:element>
    <xsd:element name="LastSharedByTime" ma:index="16" nillable="true" ma:displayName="Last Shared By Time" ma:internalName="LastSharedByTim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a0eae5-8244-4c98-a1cf-63cf3db0c3f7" elementFormDefault="qualified">
    <xsd:import namespace="http://schemas.microsoft.com/office/2006/documentManagement/types"/>
    <xsd:import namespace="http://schemas.microsoft.com/office/infopath/2007/PartnerControls"/>
    <xsd:element name="k01328dce2984ad0aad66c8c14967cbd" ma:index="20" ma:taxonomy="true" ma:internalName="k01328dce2984ad0aad66c8c14967cbd" ma:taxonomyFieldName="Detailing_x0020_Section" ma:displayName="Detailing Section" ma:indexed="true" ma:default="" ma:fieldId="{401328dc-e298-4ad0-aad6-6c8c14967cbd}" ma:sspId="f2a00314-ae30-474d-911b-f8e025e1af2d" ma:termSetId="e3f43d60-1d40-47c6-9c98-b48708fa1fe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2664a-4298-401e-9fa6-8f5325dd293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7b847ba-aeee-41fa-ae47-e81c2ba635d0}" ma:internalName="TaxCatchAll" ma:showField="CatchAllData" ma:web="b9f6168f-541e-42da-b79f-53b4a05033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1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CC08F9-6417-43D3-835A-6708E9E962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B10544-553B-44D5-9394-36B4ADE131F1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3286e7a0-361e-474e-83c9-69ec604deab8"/>
    <ds:schemaRef ds:uri="http://www.w3.org/XML/1998/namespace"/>
    <ds:schemaRef ds:uri="3fa0eae5-8244-4c98-a1cf-63cf3db0c3f7"/>
    <ds:schemaRef ds:uri="fc3bf540-0290-486b-aa19-d4dde3fb2be5"/>
    <ds:schemaRef ds:uri="http://schemas.microsoft.com/office/2006/documentManagement/types"/>
    <ds:schemaRef ds:uri="http://purl.org/dc/elements/1.1/"/>
    <ds:schemaRef ds:uri="e3e2664a-4298-401e-9fa6-8f5325dd2938"/>
    <ds:schemaRef ds:uri="http://schemas.microsoft.com/sharepoint/v3"/>
    <ds:schemaRef ds:uri="http://purl.org/dc/dcmitype/"/>
    <ds:schemaRef ds:uri="a0406f45-214a-4c10-9c24-47aacf226eb9"/>
    <ds:schemaRef ds:uri="8f301688-4183-4a61-8a8a-a1678bb8a79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999DE09-EB0D-438C-99E3-99FD002BE5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86e7a0-361e-474e-83c9-69ec604deab8"/>
    <ds:schemaRef ds:uri="fc3bf540-0290-486b-aa19-d4dde3fb2be5"/>
    <ds:schemaRef ds:uri="8f301688-4183-4a61-8a8a-a1678bb8a797"/>
    <ds:schemaRef ds:uri="a0406f45-214a-4c10-9c24-47aacf226eb9"/>
    <ds:schemaRef ds:uri="3fa0eae5-8244-4c98-a1cf-63cf3db0c3f7"/>
    <ds:schemaRef ds:uri="e3e2664a-4298-401e-9fa6-8f5325dd29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1f1e214-7ded-45b6-81a1-9e8ae3459641}" enabled="0" method="" siteId="{a1f1e214-7ded-45b6-81a1-9e8ae34596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Revision List</vt:lpstr>
      <vt:lpstr>Verification List</vt:lpstr>
      <vt:lpstr>Check Information</vt:lpstr>
      <vt:lpstr>Comments</vt:lpstr>
      <vt:lpstr>Base</vt:lpstr>
      <vt:lpstr>Drain Pan</vt:lpstr>
      <vt:lpstr>Housing</vt:lpstr>
      <vt:lpstr>Paperwork</vt:lpstr>
      <vt:lpstr>Internal</vt:lpstr>
      <vt:lpstr>Coil Panels</vt:lpstr>
      <vt:lpstr>Reconnects</vt:lpstr>
      <vt:lpstr>MOM</vt:lpstr>
      <vt:lpstr>'Verification List'!Print_Area</vt:lpstr>
    </vt:vector>
  </TitlesOfParts>
  <Company>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Dean</dc:creator>
  <cp:lastModifiedBy>Brandon Brown</cp:lastModifiedBy>
  <dcterms:created xsi:type="dcterms:W3CDTF">2026-03-18T16:21:01Z</dcterms:created>
  <dcterms:modified xsi:type="dcterms:W3CDTF">2026-08-25T20:42:35Z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0x010100283730DD52FAF5479A2C62D263CA81D600BDF0E2C1A6DA0143888BF32C8D868A32</vt:lpwstr>
  </property>
  <property fmtid="{D5CDD505-2E9C-101B-9397-08002B2CF9AE}" pid="3" name="Detailing Section">
    <vt:lpwstr>742;#07 - Standard Process / Forms|7f17f206-2358-4f11-9fcd-fd0064e044d4</vt:lpwstr>
  </property>
  <property fmtid="{D5CDD505-2E9C-101B-9397-08002B2CF9AE}" pid="4" name="Detailing_x0020_Section">
    <vt:lpwstr>742;#07 - Standard Process / Forms|7f17f206-2358-4f11-9fcd-fd0064e044d4</vt:lpwstr>
  </property>
</Properties>
</file>